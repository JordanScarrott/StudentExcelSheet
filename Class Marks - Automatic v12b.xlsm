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inal Marks" sheetId="1" r:id="rId1"/>
    <sheet name="Test 1" sheetId="54" r:id="rId2"/>
    <sheet name="Test 2" sheetId="55" r:id="rId3"/>
    <sheet name="Oral Assignment 1" sheetId="56" r:id="rId4"/>
    <sheet name="Test 4" sheetId="58" r:id="rId5"/>
    <sheet name="Exam" sheetId="52" r:id="rId6"/>
  </sheets>
  <functionGroups builtInGroupCount="18"/>
  <definedNames>
    <definedName name="_xlnm._FilterDatabase" localSheetId="0" hidden="1">'Final Marks'!$D$27:$N$27</definedName>
  </definedNames>
  <calcPr calcId="152511"/>
</workbook>
</file>

<file path=xl/calcChain.xml><?xml version="1.0" encoding="utf-8"?>
<calcChain xmlns="http://schemas.openxmlformats.org/spreadsheetml/2006/main">
  <c r="K17" i="52" l="1"/>
  <c r="G17" i="52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I36" i="1"/>
  <c r="I28" i="1"/>
  <c r="I33" i="1"/>
  <c r="I29" i="1"/>
  <c r="I35" i="1"/>
  <c r="I34" i="1"/>
  <c r="I30" i="1"/>
  <c r="I32" i="1"/>
  <c r="I31" i="1"/>
  <c r="I38" i="1"/>
  <c r="I37" i="1"/>
  <c r="M6" i="1" l="1"/>
  <c r="M5" i="1"/>
  <c r="M4" i="1"/>
  <c r="M13" i="1"/>
  <c r="M7" i="1"/>
  <c r="M8" i="1"/>
  <c r="M9" i="1"/>
  <c r="M10" i="1"/>
  <c r="M12" i="1"/>
  <c r="M11" i="1"/>
  <c r="K16" i="52"/>
  <c r="G16" i="52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K15" i="52"/>
  <c r="G15" i="52"/>
  <c r="F15" i="52"/>
  <c r="E15" i="52"/>
  <c r="K14" i="52"/>
  <c r="G14" i="52"/>
  <c r="F14" i="52"/>
  <c r="E14" i="52"/>
  <c r="K13" i="52"/>
  <c r="G13" i="52"/>
  <c r="F13" i="52"/>
  <c r="E13" i="52"/>
  <c r="K12" i="52"/>
  <c r="G12" i="52"/>
  <c r="F12" i="52"/>
  <c r="E12" i="52"/>
  <c r="K11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I13" i="55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Q25" i="1" s="1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K10" i="52"/>
  <c r="G10" i="52"/>
  <c r="F10" i="52"/>
  <c r="E10" i="52"/>
  <c r="K9" i="52"/>
  <c r="G9" i="52"/>
  <c r="F9" i="52"/>
  <c r="E9" i="52"/>
  <c r="K8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H17" i="55" l="1"/>
  <c r="H14" i="58"/>
  <c r="D14" i="58" s="1"/>
  <c r="H17" i="58"/>
  <c r="H15" i="56"/>
  <c r="D15" i="56" s="1"/>
  <c r="H17" i="56"/>
  <c r="D17" i="56" s="1"/>
  <c r="H15" i="58"/>
  <c r="H13" i="56"/>
  <c r="H16" i="56"/>
  <c r="H11" i="56"/>
  <c r="H13" i="55"/>
  <c r="D13" i="55" s="1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G3" i="52"/>
  <c r="I13" i="58"/>
  <c r="I12" i="56"/>
  <c r="I9" i="55"/>
  <c r="I12" i="58"/>
  <c r="I9" i="56"/>
  <c r="I10" i="56"/>
  <c r="I11" i="58"/>
  <c r="I11" i="55"/>
  <c r="I8" i="58"/>
  <c r="I13" i="56"/>
  <c r="I12" i="55"/>
  <c r="I9" i="58"/>
  <c r="I11" i="56"/>
  <c r="I10" i="58"/>
  <c r="I8" i="55"/>
  <c r="I10" i="55"/>
  <c r="I8" i="56"/>
  <c r="D17" i="55" l="1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K7" i="52"/>
  <c r="G7" i="52"/>
  <c r="F7" i="52"/>
  <c r="E7" i="52"/>
  <c r="K7" i="54"/>
  <c r="G7" i="54"/>
  <c r="F7" i="54"/>
  <c r="E7" i="54"/>
  <c r="N27" i="1" l="1"/>
  <c r="M27" i="1" s="1"/>
  <c r="K6" i="54" l="1"/>
  <c r="D3" i="54"/>
  <c r="N25" i="1" s="1"/>
  <c r="H17" i="54" l="1"/>
  <c r="D17" i="54" s="1"/>
  <c r="N26" i="1"/>
  <c r="O26" i="1"/>
  <c r="Q26" i="1"/>
  <c r="P26" i="1"/>
  <c r="H16" i="54"/>
  <c r="D16" i="54" s="1"/>
  <c r="H13" i="54"/>
  <c r="H15" i="54"/>
  <c r="H14" i="54"/>
  <c r="D14" i="54" s="1"/>
  <c r="H11" i="54"/>
  <c r="H12" i="54"/>
  <c r="H9" i="54"/>
  <c r="H8" i="54"/>
  <c r="H10" i="54"/>
  <c r="H7" i="54"/>
  <c r="D7" i="54" s="1"/>
  <c r="I6" i="54"/>
  <c r="I8" i="54"/>
  <c r="I11" i="54"/>
  <c r="I10" i="54"/>
  <c r="I12" i="54"/>
  <c r="I9" i="54"/>
  <c r="I13" i="54"/>
  <c r="D15" i="54" l="1"/>
  <c r="D13" i="54"/>
  <c r="D12" i="54"/>
  <c r="D11" i="54"/>
  <c r="D10" i="54"/>
  <c r="D8" i="54"/>
  <c r="D9" i="54"/>
  <c r="K6" i="52"/>
  <c r="H17" i="52" l="1"/>
  <c r="H15" i="52"/>
  <c r="H16" i="52"/>
  <c r="H12" i="52"/>
  <c r="H14" i="52"/>
  <c r="H11" i="52"/>
  <c r="D11" i="52" s="1"/>
  <c r="H13" i="52"/>
  <c r="H8" i="52"/>
  <c r="H10" i="52"/>
  <c r="H9" i="52"/>
  <c r="D9" i="52" s="1"/>
  <c r="H7" i="52"/>
  <c r="I6" i="52"/>
  <c r="G5" i="52"/>
  <c r="F5" i="52"/>
  <c r="E5" i="52"/>
  <c r="D3" i="52"/>
  <c r="I9" i="52"/>
  <c r="I10" i="52"/>
  <c r="I13" i="52"/>
  <c r="I8" i="52"/>
  <c r="I12" i="52"/>
  <c r="I11" i="52"/>
  <c r="D8" i="52" l="1"/>
  <c r="D17" i="52"/>
  <c r="D12" i="52"/>
  <c r="D7" i="52" l="1"/>
  <c r="D10" i="52" l="1"/>
  <c r="D14" i="52" l="1"/>
  <c r="D16" i="52"/>
  <c r="D13" i="52"/>
  <c r="D15" i="52"/>
  <c r="I7" i="58"/>
  <c r="I7" i="56"/>
  <c r="I7" i="55"/>
  <c r="I7" i="54"/>
  <c r="I7" i="52"/>
  <c r="K29" i="1" l="1"/>
  <c r="K30" i="1"/>
  <c r="K31" i="1"/>
  <c r="K32" i="1"/>
  <c r="K33" i="1"/>
  <c r="K34" i="1"/>
  <c r="K28" i="1"/>
  <c r="Q33" i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O32" i="1"/>
  <c r="O33" i="1"/>
  <c r="O34" i="1"/>
  <c r="O30" i="1"/>
  <c r="O31" i="1"/>
  <c r="O28" i="1"/>
  <c r="N31" i="1"/>
  <c r="N32" i="1"/>
  <c r="N33" i="1"/>
  <c r="N34" i="1"/>
  <c r="N29" i="1"/>
  <c r="N30" i="1"/>
  <c r="N28" i="1"/>
  <c r="M31" i="1" l="1"/>
  <c r="L31" i="1" s="1"/>
  <c r="J31" i="1" s="1"/>
  <c r="H31" i="1" s="1"/>
  <c r="M30" i="1"/>
  <c r="L30" i="1" s="1"/>
  <c r="J30" i="1" s="1"/>
  <c r="G30" i="1" s="1"/>
  <c r="M34" i="1"/>
  <c r="L34" i="1" s="1"/>
  <c r="J34" i="1" s="1"/>
  <c r="G34" i="1" s="1"/>
  <c r="M28" i="1"/>
  <c r="L28" i="1" s="1"/>
  <c r="J28" i="1" s="1"/>
  <c r="M29" i="1"/>
  <c r="L29" i="1" s="1"/>
  <c r="J29" i="1" s="1"/>
  <c r="H29" i="1" s="1"/>
  <c r="M33" i="1"/>
  <c r="L33" i="1" s="1"/>
  <c r="J33" i="1" s="1"/>
  <c r="M32" i="1"/>
  <c r="L32" i="1" s="1"/>
  <c r="J32" i="1" s="1"/>
  <c r="G32" i="1" s="1"/>
  <c r="H28" i="1" l="1"/>
  <c r="G28" i="1"/>
  <c r="H30" i="1"/>
  <c r="H33" i="1"/>
  <c r="G33" i="1"/>
  <c r="G29" i="1"/>
  <c r="G31" i="1"/>
  <c r="H34" i="1"/>
  <c r="H32" i="1"/>
  <c r="I16" i="58"/>
  <c r="Q37" i="1" l="1"/>
  <c r="I15" i="58"/>
  <c r="I17" i="55"/>
  <c r="I17" i="56"/>
  <c r="I15" i="55"/>
  <c r="I16" i="56"/>
  <c r="I16" i="54"/>
  <c r="I14" i="55"/>
  <c r="I16" i="55"/>
  <c r="I17" i="58"/>
  <c r="Q38" i="1" l="1"/>
  <c r="O35" i="1"/>
  <c r="N37" i="1"/>
  <c r="P37" i="1"/>
  <c r="O36" i="1"/>
  <c r="P38" i="1"/>
  <c r="O38" i="1"/>
  <c r="Q36" i="1"/>
  <c r="O37" i="1"/>
  <c r="I14" i="56"/>
  <c r="M37" i="1" l="1"/>
  <c r="L37" i="1" s="1"/>
  <c r="P35" i="1"/>
  <c r="I14" i="58"/>
  <c r="I14" i="54"/>
  <c r="N35" i="1" l="1"/>
  <c r="Q35" i="1"/>
  <c r="I15" i="56"/>
  <c r="M35" i="1" l="1"/>
  <c r="L35" i="1" s="1"/>
  <c r="P36" i="1"/>
  <c r="I17" i="54"/>
  <c r="I16" i="52"/>
  <c r="N38" i="1" l="1"/>
  <c r="M38" i="1" s="1"/>
  <c r="L38" i="1" s="1"/>
  <c r="K37" i="1"/>
  <c r="I15" i="54"/>
  <c r="J37" i="1" l="1"/>
  <c r="H37" i="1" s="1"/>
  <c r="N36" i="1"/>
  <c r="M36" i="1" s="1"/>
  <c r="I17" i="52"/>
  <c r="L36" i="1" l="1"/>
  <c r="G37" i="1"/>
  <c r="K38" i="1"/>
  <c r="I15" i="52"/>
  <c r="J38" i="1" l="1"/>
  <c r="H38" i="1" s="1"/>
  <c r="K36" i="1"/>
  <c r="I14" i="52"/>
  <c r="J36" i="1" l="1"/>
  <c r="H36" i="1" s="1"/>
  <c r="G38" i="1"/>
  <c r="K35" i="1"/>
  <c r="J35" i="1" l="1"/>
  <c r="G36" i="1"/>
  <c r="M18" i="1" l="1"/>
  <c r="M19" i="1"/>
  <c r="M17" i="1"/>
  <c r="H35" i="1"/>
  <c r="G35" i="1"/>
  <c r="M16" i="1" s="1"/>
  <c r="M15" i="1" l="1"/>
  <c r="M14" i="1"/>
</calcChain>
</file>

<file path=xl/sharedStrings.xml><?xml version="1.0" encoding="utf-8"?>
<sst xmlns="http://schemas.openxmlformats.org/spreadsheetml/2006/main" count="201" uniqueCount="105">
  <si>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</si>
  <si>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</si>
  <si>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</si>
  <si>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</si>
  <si>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</si>
  <si>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</si>
  <si>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</si>
  <si>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</si>
  <si>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</si>
  <si>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</si>
  <si>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</si>
  <si>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</si>
  <si>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</si>
  <si>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</si>
  <si>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</si>
  <si>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</si>
  <si>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</si>
  <si>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</si>
  <si>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</si>
  <si>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</si>
  <si>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</si>
  <si>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</si>
  <si>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</si>
  <si>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</si>
  <si>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</si>
  <si>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</si>
  <si>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</si>
  <si>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</si>
  <si>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</si>
  <si>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</si>
  <si>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</si>
  <si>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</si>
  <si>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</si>
  <si>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</si>
  <si>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</si>
  <si>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</si>
  <si>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</si>
  <si>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</si>
  <si>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</si>
  <si>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</si>
  <si>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</si>
  <si>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</si>
  <si>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</si>
  <si>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</si>
  <si>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</si>
  <si>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</si>
  <si>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</si>
  <si>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</si>
  <si>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</si>
  <si>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</si>
  <si>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</si>
  <si>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</si>
  <si>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</si>
  <si>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</si>
  <si>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</si>
  <si>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</si>
  <si>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</si>
  <si>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</si>
  <si>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</si>
  <si>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</si>
  <si>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</si>
  <si>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</si>
  <si>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</si>
  <si>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</si>
  <si>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</si>
  <si>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</si>
  <si>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</si>
  <si>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</si>
  <si>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</si>
  <si>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</si>
  <si>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</si>
  <si>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</si>
  <si>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</si>
  <si>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</si>
  <si>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</si>
  <si>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</si>
  <si>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</si>
  <si>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</si>
  <si>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</si>
  <si>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</si>
  <si>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</si>
  <si>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</si>
  <si>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</si>
  <si>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</si>
  <si>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</si>
  <si>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</si>
  <si>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</si>
  <si>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</si>
  <si>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</si>
  <si>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</si>
  <si>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</si>
  <si>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</si>
  <si>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</si>
  <si>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</si>
  <si>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</si>
  <si>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</si>
  <si>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</si>
  <si>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</si>
  <si>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</si>
  <si>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</si>
  <si>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</si>
  <si>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</si>
  <si>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</si>
  <si>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</si>
  <si>
    <t>A+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</si>
</sst>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3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417"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</dxfs>
  <tableStyles count="0" defaultTableStyle="TableStyleMedium2" defaultPivotStyle="PivotStyleMedium9"/>
  <colors>
    <mruColors>
      <color rgb="FFF3EB4B"/>
      <color rgb="FFDFEB4B"/>
      <color rgb="FFDFF34B"/>
      <color rgb="FFEBF34B"/>
      <color rgb="FFABF34B"/>
      <color rgb="FF8DF34B"/>
      <color rgb="FFF7D470"/>
      <color rgb="FFF36B4B"/>
      <color rgb="FFFF6600"/>
      <color rgb="FFABF3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15240</xdr:colOff>
      <xdr:row>14</xdr:row>
      <xdr:rowOff>83539</xdr:rowOff>
    </xdr:from>
    <xdr:to>
      <xdr:col>8</xdr:col>
      <xdr:colOff>542924</xdr:colOff>
      <xdr:row>22</xdr:row>
      <xdr:rowOff>123825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4000" y="2853409"/>
          <a:ext cx="3255644" cy="1575716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Q38"/>
  <sheetViews>
    <sheetView tabSelected="1" topLeftCell="B1" zoomScaleNormal="100" workbookViewId="0">
      <selection activeCell="N10" sqref="N10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13" t="s">
        <v>67</v>
      </c>
      <c r="G3" s="114"/>
      <c r="H3" s="114"/>
      <c r="I3" s="115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6"/>
      <c r="G4" s="117"/>
      <c r="H4" s="117"/>
      <c r="I4" s="118"/>
      <c r="J4" s="37"/>
      <c r="K4" s="53" t="s">
        <v>16</v>
      </c>
      <c r="L4" s="48" t="s">
        <v>104</v>
      </c>
      <c r="M4" s="59">
        <f t="shared" ref="M4:M13" si="0">COUNTIF(I$28:I$38, "="&amp;L4)</f>
        <v>1</v>
      </c>
    </row>
    <row r="5" spans="3:13" ht="15.75" thickBot="1" x14ac:dyDescent="0.3">
      <c r="C5" s="40" t="s">
        <v>13</v>
      </c>
      <c r="D5" s="68"/>
      <c r="E5" s="36"/>
      <c r="F5" s="116"/>
      <c r="G5" s="117"/>
      <c r="H5" s="117"/>
      <c r="I5" s="118"/>
      <c r="J5" s="37"/>
      <c r="K5" s="54" t="s">
        <v>17</v>
      </c>
      <c r="L5" s="48" t="s">
        <v>31</v>
      </c>
      <c r="M5" s="59">
        <f t="shared" si="0"/>
        <v>0</v>
      </c>
    </row>
    <row r="6" spans="3:13" ht="15.75" thickBot="1" x14ac:dyDescent="0.3">
      <c r="C6" s="42" t="s">
        <v>12</v>
      </c>
      <c r="D6" s="67"/>
      <c r="F6" s="116"/>
      <c r="G6" s="117"/>
      <c r="H6" s="117"/>
      <c r="I6" s="118"/>
      <c r="J6" s="37"/>
      <c r="K6" s="55" t="s">
        <v>18</v>
      </c>
      <c r="L6" s="49" t="s">
        <v>33</v>
      </c>
      <c r="M6" s="59">
        <f t="shared" si="0"/>
        <v>1</v>
      </c>
    </row>
    <row r="7" spans="3:13" ht="15.75" thickBot="1" x14ac:dyDescent="0.3">
      <c r="C7" s="40" t="s">
        <v>51</v>
      </c>
      <c r="D7" s="90">
        <v>11</v>
      </c>
      <c r="F7" s="110" t="s">
        <v>65</v>
      </c>
      <c r="G7" s="111"/>
      <c r="H7" s="111"/>
      <c r="I7" s="112"/>
      <c r="J7" s="35"/>
      <c r="K7" s="55" t="s">
        <v>19</v>
      </c>
      <c r="L7" s="49" t="s">
        <v>50</v>
      </c>
      <c r="M7" s="59">
        <f t="shared" si="0"/>
        <v>2</v>
      </c>
    </row>
    <row r="8" spans="3:13" ht="15.75" thickBot="1" x14ac:dyDescent="0.3">
      <c r="C8" s="44" t="s">
        <v>52</v>
      </c>
      <c r="D8" s="91">
        <v>4</v>
      </c>
      <c r="F8" s="107" t="s">
        <v>66</v>
      </c>
      <c r="G8" s="108"/>
      <c r="H8" s="108"/>
      <c r="I8" s="109"/>
      <c r="J8" s="35"/>
      <c r="K8" s="55" t="s">
        <v>20</v>
      </c>
      <c r="L8" s="49" t="s">
        <v>37</v>
      </c>
      <c r="M8" s="59">
        <f t="shared" si="0"/>
        <v>2</v>
      </c>
    </row>
    <row r="9" spans="3:13" ht="15.75" thickBot="1" x14ac:dyDescent="0.3">
      <c r="J9" s="35"/>
      <c r="K9" s="56" t="s">
        <v>21</v>
      </c>
      <c r="L9" s="50" t="s">
        <v>34</v>
      </c>
      <c r="M9" s="59">
        <f t="shared" si="0"/>
        <v>2</v>
      </c>
    </row>
    <row r="10" spans="3:13" x14ac:dyDescent="0.25">
      <c r="C10" s="38" t="s">
        <v>48</v>
      </c>
      <c r="D10" s="39">
        <v>0.5</v>
      </c>
      <c r="F10" s="119" t="s">
        <v>68</v>
      </c>
      <c r="G10" s="120"/>
      <c r="H10" s="120"/>
      <c r="I10" s="121"/>
      <c r="J10" s="35"/>
      <c r="K10" s="56" t="s">
        <v>22</v>
      </c>
      <c r="L10" s="50" t="s">
        <v>32</v>
      </c>
      <c r="M10" s="59">
        <f t="shared" si="0"/>
        <v>1</v>
      </c>
    </row>
    <row r="11" spans="3:13" x14ac:dyDescent="0.25">
      <c r="C11" s="42" t="s">
        <v>46</v>
      </c>
      <c r="D11" s="43">
        <v>0.4</v>
      </c>
      <c r="F11" s="110" t="s">
        <v>69</v>
      </c>
      <c r="G11" s="111"/>
      <c r="H11" s="111"/>
      <c r="I11" s="112"/>
      <c r="J11" s="35"/>
      <c r="K11" s="56" t="s">
        <v>23</v>
      </c>
      <c r="L11" s="50" t="s">
        <v>35</v>
      </c>
      <c r="M11" s="59">
        <f t="shared" si="0"/>
        <v>1</v>
      </c>
    </row>
    <row r="12" spans="3:13" x14ac:dyDescent="0.25">
      <c r="C12" s="40" t="s">
        <v>43</v>
      </c>
      <c r="D12" s="41">
        <v>0.5</v>
      </c>
      <c r="F12" s="110" t="s">
        <v>71</v>
      </c>
      <c r="G12" s="111"/>
      <c r="H12" s="111"/>
      <c r="I12" s="112"/>
      <c r="J12" s="35"/>
      <c r="K12" s="57" t="s">
        <v>30</v>
      </c>
      <c r="L12" s="51" t="s">
        <v>36</v>
      </c>
      <c r="M12" s="59">
        <f t="shared" si="0"/>
        <v>0</v>
      </c>
    </row>
    <row r="13" spans="3:13" ht="15.75" thickBot="1" x14ac:dyDescent="0.3">
      <c r="C13" s="44" t="s">
        <v>47</v>
      </c>
      <c r="D13" s="45">
        <v>0.4</v>
      </c>
      <c r="F13" s="107" t="s">
        <v>70</v>
      </c>
      <c r="G13" s="108"/>
      <c r="H13" s="108"/>
      <c r="I13" s="109"/>
      <c r="J13" s="35"/>
      <c r="K13" s="58" t="s">
        <v>29</v>
      </c>
      <c r="L13" s="52" t="s">
        <v>38</v>
      </c>
      <c r="M13" s="59">
        <f t="shared" si="0"/>
        <v>1</v>
      </c>
    </row>
    <row r="14" spans="3:13" x14ac:dyDescent="0.25">
      <c r="J14" s="35"/>
      <c r="K14" s="103" t="s">
        <v>28</v>
      </c>
      <c r="L14" s="104"/>
      <c r="M14" s="60">
        <f>COUNTIF(H28:H38, "=FAIL")</f>
        <v>3</v>
      </c>
    </row>
    <row r="15" spans="3:13" x14ac:dyDescent="0.25">
      <c r="J15" s="35"/>
      <c r="K15" s="105" t="s">
        <v>27</v>
      </c>
      <c r="L15" s="106"/>
      <c r="M15" s="59">
        <f>COUNTIF(H28:H38, "=PASS")</f>
        <v>8</v>
      </c>
    </row>
    <row r="16" spans="3:13" x14ac:dyDescent="0.25">
      <c r="J16" s="35"/>
      <c r="K16" s="105" t="s">
        <v>39</v>
      </c>
      <c r="L16" s="106"/>
      <c r="M16" s="59">
        <f>COUNTIF(G28:G38, "=WRITE SUPP")</f>
        <v>2</v>
      </c>
    </row>
    <row r="17" spans="3:17" x14ac:dyDescent="0.25">
      <c r="J17" s="35"/>
      <c r="K17" s="105" t="s">
        <v>40</v>
      </c>
      <c r="L17" s="106"/>
      <c r="M17" s="61">
        <f>MAX(J28:J38)-MIN(J28:J38)</f>
        <v>0.48981818181818176</v>
      </c>
    </row>
    <row r="18" spans="3:17" x14ac:dyDescent="0.25">
      <c r="J18" s="35"/>
      <c r="K18" s="105" t="s">
        <v>41</v>
      </c>
      <c r="L18" s="106"/>
      <c r="M18" s="61">
        <f>AVERAGE(J28:J38)</f>
        <v>0.62047933884297513</v>
      </c>
    </row>
    <row r="19" spans="3:17" ht="15.75" thickBot="1" x14ac:dyDescent="0.3">
      <c r="J19" s="35"/>
      <c r="K19" s="101" t="s">
        <v>42</v>
      </c>
      <c r="L19" s="102"/>
      <c r="M19" s="62">
        <f>STDEV(J28:J38)</f>
        <v>0.13020848565681076</v>
      </c>
    </row>
    <row r="24" spans="3:17" ht="15.75" thickBot="1" x14ac:dyDescent="0.3"/>
    <row r="25" spans="3:17" ht="15.75" thickBot="1" x14ac:dyDescent="0.3">
      <c r="D25" s="63" t="s">
        <v>3</v>
      </c>
      <c r="E25" s="64" t="s">
        <v>1</v>
      </c>
      <c r="F25" s="64" t="s">
        <v>2</v>
      </c>
      <c r="G25" s="64" t="s">
        <v>45</v>
      </c>
      <c r="H25" s="64" t="s">
        <v>44</v>
      </c>
      <c r="I25" s="64" t="s">
        <v>25</v>
      </c>
      <c r="J25" s="70" t="s">
        <v>9</v>
      </c>
      <c r="K25" s="64" t="s">
        <v>4</v>
      </c>
      <c r="L25" s="64" t="s">
        <v>54</v>
      </c>
      <c r="M25" s="98" t="s">
        <v>49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</row>
    <row r="26" spans="3:17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1">O27/$M$27</f>
        <v>0.27272727272727271</v>
      </c>
      <c r="P26" s="97">
        <f t="shared" si="1"/>
        <v>0.18181818181818182</v>
      </c>
      <c r="Q26" s="97">
        <f t="shared" si="1"/>
        <v>0.45454545454545453</v>
      </c>
    </row>
    <row r="27" spans="3:17" ht="15.75" thickBot="1" x14ac:dyDescent="0.3">
      <c r="C27" s="29" t="s">
        <v>53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 t="shared" ref="M27:M38" si="2"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</row>
    <row r="28" spans="3:17" x14ac:dyDescent="0.25">
      <c r="D28" s="73" t="s">
        <v>76</v>
      </c>
      <c r="E28" s="96" t="s">
        <v>89</v>
      </c>
      <c r="F28" s="88" t="s">
        <v>78</v>
      </c>
      <c r="G28" s="74" t="str">
        <f>IF(AND(K28&gt;=D$13, J28&gt;=D$11), IF(OR(K28&lt;D$12, J28&lt;D$10), "WRITE SUPP", "NO SUPP"), "NO SUPP")</f>
        <v>NO SUPP</v>
      </c>
      <c r="H28" s="74" t="str">
        <f>IF(K28&gt;=D$12, IF(J28&gt;=D$10, "PASS", "FAIL"), "FAIL")</f>
        <v>PASS</v>
      </c>
      <c r="I28" s="74" t="str">
        <f t="shared" ref="I28:I38" si="3">STUDENT_GRADE(J28,K$4:K$13,L$4:L$13)</f>
        <v>B</v>
      </c>
      <c r="J28" s="89">
        <f t="shared" ref="J28:J37" si="4">IFERROR(K$26*K28+L$26*L28, L$26*L28)</f>
        <v>0.69090909090909092</v>
      </c>
      <c r="K28" s="89">
        <f>IF(ISNUMBER(FIND("MISSING MARK", Exam!I7)), Exam!I7, IF(ISNUMBER(FIND("INVALID MARK", Exam!I7)), Exam!I7, Exam!H7))</f>
        <v>0.72499999999999998</v>
      </c>
      <c r="L28" s="89">
        <f>M28/M$27</f>
        <v>0.66818181818181821</v>
      </c>
      <c r="M28" s="74">
        <f t="shared" si="2"/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3:17" x14ac:dyDescent="0.25">
      <c r="D29" s="73" t="s">
        <v>79</v>
      </c>
      <c r="E29" s="96" t="s">
        <v>77</v>
      </c>
      <c r="F29" s="88" t="s">
        <v>81</v>
      </c>
      <c r="G29" s="74" t="str">
        <f t="shared" ref="G29:G31" si="5">IF(AND(K29&gt;=D$13, J29&gt;=D$11), IF(OR(K29&lt;D$12, J29&lt;D$10), "WRITE SUPP", "NO SUPP"), "NO SUPP")</f>
        <v>NO SUPP</v>
      </c>
      <c r="H29" s="74" t="str">
        <f t="shared" ref="H29:H31" si="6">IF(K29&gt;=D$12, IF(J29&gt;=D$10, "PASS", "FAIL"), "FAIL")</f>
        <v>PASS</v>
      </c>
      <c r="I29" s="74" t="str">
        <f t="shared" si="3"/>
        <v>A+</v>
      </c>
      <c r="J29" s="89">
        <f t="shared" si="4"/>
        <v>0.88527272727272721</v>
      </c>
      <c r="K29" s="89">
        <f>IF(ISNUMBER(FIND("MISSING MARK", Exam!I8)), Exam!I8, IF(ISNUMBER(FIND("INVALID MARK", Exam!I8)), Exam!I8, Exam!H8))</f>
        <v>0.87</v>
      </c>
      <c r="L29" s="89">
        <f t="shared" ref="L29:L31" si="7">M29/M$27</f>
        <v>0.8954545454545455</v>
      </c>
      <c r="M29" s="74">
        <f t="shared" si="2"/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3:17" x14ac:dyDescent="0.25">
      <c r="D30" s="73" t="s">
        <v>80</v>
      </c>
      <c r="E30" s="73" t="s">
        <v>84</v>
      </c>
      <c r="F30" s="88" t="s">
        <v>82</v>
      </c>
      <c r="G30" s="74" t="str">
        <f t="shared" si="5"/>
        <v>NO SUPP</v>
      </c>
      <c r="H30" s="74" t="str">
        <f t="shared" si="6"/>
        <v>FAIL</v>
      </c>
      <c r="I30" s="74" t="str">
        <f t="shared" si="3"/>
        <v>F</v>
      </c>
      <c r="J30" s="89">
        <f t="shared" si="4"/>
        <v>0.39545454545454545</v>
      </c>
      <c r="K30" s="89">
        <f>IF(ISNUMBER(FIND("MISSING MARK", Exam!I9)), Exam!I9, IF(ISNUMBER(FIND("INVALID MARK", Exam!I9)), Exam!I9, Exam!H9))</f>
        <v>0.45</v>
      </c>
      <c r="L30" s="89">
        <f t="shared" si="7"/>
        <v>0.35909090909090907</v>
      </c>
      <c r="M30" s="74">
        <f t="shared" si="2"/>
        <v>39.5</v>
      </c>
      <c r="N30" s="75">
        <f>'Test 1'!I9</f>
        <v>4</v>
      </c>
      <c r="O30" s="75">
        <f>'Test 2'!I9</f>
        <v>10.500000000000002</v>
      </c>
      <c r="P30" s="75">
        <f>'Oral Assignment 1'!I9</f>
        <v>9</v>
      </c>
      <c r="Q30" s="75">
        <f>'Test 4'!I9</f>
        <v>16</v>
      </c>
    </row>
    <row r="31" spans="3:17" x14ac:dyDescent="0.25">
      <c r="D31" s="73" t="s">
        <v>85</v>
      </c>
      <c r="E31" s="73" t="s">
        <v>86</v>
      </c>
      <c r="F31" s="88" t="s">
        <v>83</v>
      </c>
      <c r="G31" s="74" t="str">
        <f t="shared" si="5"/>
        <v>NO SUPP</v>
      </c>
      <c r="H31" s="74" t="str">
        <f t="shared" si="6"/>
        <v>PASS</v>
      </c>
      <c r="I31" s="74" t="str">
        <f t="shared" si="3"/>
        <v>C</v>
      </c>
      <c r="J31" s="89">
        <f>IFERROR(K$26*K31+L$26*L31, L$26*L31)</f>
        <v>0.54745454545454542</v>
      </c>
      <c r="K31" s="89">
        <f>IF(ISNUMBER(FIND("MISSING MARK", Exam!I10)), Exam!I10, IF(ISNUMBER(FIND("INVALID MARK", Exam!I10)), Exam!I10, Exam!H10))</f>
        <v>0.53</v>
      </c>
      <c r="L31" s="89">
        <f t="shared" si="7"/>
        <v>0.55909090909090908</v>
      </c>
      <c r="M31" s="74">
        <f t="shared" si="2"/>
        <v>61.5</v>
      </c>
      <c r="N31" s="75">
        <f>'Test 1'!I10</f>
        <v>5</v>
      </c>
      <c r="O31" s="75">
        <f>'Test 2'!I10</f>
        <v>15.499999999999998</v>
      </c>
      <c r="P31" s="75">
        <f>'Oral Assignment 1'!I10</f>
        <v>11</v>
      </c>
      <c r="Q31" s="75">
        <f>'Test 4'!I10</f>
        <v>30</v>
      </c>
    </row>
    <row r="32" spans="3:17" x14ac:dyDescent="0.25">
      <c r="D32" s="73" t="s">
        <v>88</v>
      </c>
      <c r="E32" s="73" t="s">
        <v>87</v>
      </c>
      <c r="F32" s="88" t="s">
        <v>90</v>
      </c>
      <c r="G32" s="74" t="str">
        <f t="shared" ref="G32:G36" si="8">IF(AND(K32&gt;=D$13, J32&gt;=D$11), IF(OR(K32&lt;D$12, J32&lt;D$10), "WRITE SUPP", "NO SUPP"), "NO SUPP")</f>
        <v>WRITE SUPP</v>
      </c>
      <c r="H32" s="74" t="str">
        <f t="shared" ref="H32:H36" si="9">IF(K32&gt;=D$12, IF(J32&gt;=D$10, "PASS", "FAIL"), "FAIL")</f>
        <v>FAIL</v>
      </c>
      <c r="I32" s="74" t="str">
        <f t="shared" si="3"/>
        <v>C+</v>
      </c>
      <c r="J32" s="89">
        <f t="shared" si="4"/>
        <v>0.58127272727272727</v>
      </c>
      <c r="K32" s="89">
        <f>IF(ISNUMBER(FIND("MISSING MARK", Exam!I11)), Exam!I11, IF(ISNUMBER(FIND("INVALID MARK", Exam!I11)), Exam!I11, Exam!H11))</f>
        <v>0.41</v>
      </c>
      <c r="L32" s="89">
        <f t="shared" ref="L32:L36" si="10">M32/M$27</f>
        <v>0.69545454545454544</v>
      </c>
      <c r="M32" s="74">
        <f t="shared" si="2"/>
        <v>76.5</v>
      </c>
      <c r="N32" s="75">
        <f>'Test 1'!I11</f>
        <v>6</v>
      </c>
      <c r="O32" s="75">
        <f>'Test 2'!I11</f>
        <v>16.499999999999996</v>
      </c>
      <c r="P32" s="75">
        <f>'Oral Assignment 1'!I11</f>
        <v>19</v>
      </c>
      <c r="Q32" s="75">
        <f>'Test 4'!I11</f>
        <v>35</v>
      </c>
    </row>
    <row r="33" spans="4:17" x14ac:dyDescent="0.25">
      <c r="D33" s="73" t="s">
        <v>92</v>
      </c>
      <c r="E33" s="73" t="s">
        <v>91</v>
      </c>
      <c r="F33" s="88" t="s">
        <v>93</v>
      </c>
      <c r="G33" s="74" t="str">
        <f t="shared" si="8"/>
        <v>WRITE SUPP</v>
      </c>
      <c r="H33" s="74" t="str">
        <f t="shared" si="9"/>
        <v>FAIL</v>
      </c>
      <c r="I33" s="74" t="str">
        <f t="shared" si="3"/>
        <v>C-</v>
      </c>
      <c r="J33" s="89">
        <f t="shared" si="4"/>
        <v>0.48363636363636364</v>
      </c>
      <c r="K33" s="89">
        <f>IF(ISNUMBER(FIND("MISSING MARK", Exam!I12)), Exam!I12, IF(ISNUMBER(FIND("INVALID MARK", Exam!I12)), Exam!I12, Exam!H12))</f>
        <v>0.65</v>
      </c>
      <c r="L33" s="89">
        <f t="shared" si="10"/>
        <v>0.37272727272727274</v>
      </c>
      <c r="M33" s="74">
        <f t="shared" si="2"/>
        <v>41</v>
      </c>
      <c r="N33" s="75">
        <f>'Test 1'!I12</f>
        <v>3.5000000000000004</v>
      </c>
      <c r="O33" s="75">
        <f>'Test 2'!I12</f>
        <v>9.5</v>
      </c>
      <c r="P33" s="75">
        <f>'Oral Assignment 1'!I12</f>
        <v>11</v>
      </c>
      <c r="Q33" s="75">
        <f>'Test 4'!I12</f>
        <v>17</v>
      </c>
    </row>
    <row r="34" spans="4:17" x14ac:dyDescent="0.25">
      <c r="D34" s="73" t="s">
        <v>95</v>
      </c>
      <c r="E34" s="73" t="s">
        <v>94</v>
      </c>
      <c r="F34" s="88" t="s">
        <v>97</v>
      </c>
      <c r="G34" s="74" t="str">
        <f t="shared" si="8"/>
        <v>NO SUPP</v>
      </c>
      <c r="H34" s="74" t="str">
        <f t="shared" si="9"/>
        <v>PASS</v>
      </c>
      <c r="I34" s="74" t="str">
        <f t="shared" si="3"/>
        <v>C+</v>
      </c>
      <c r="J34" s="89">
        <f t="shared" si="4"/>
        <v>0.58654545454545448</v>
      </c>
      <c r="K34" s="89">
        <f>IF(ISNUMBER(FIND("MISSING MARK", Exam!I13)), Exam!I13, IF(ISNUMBER(FIND("INVALID MARK", Exam!I13)), Exam!I13, Exam!H13))</f>
        <v>0.57999999999999996</v>
      </c>
      <c r="L34" s="89">
        <f t="shared" si="10"/>
        <v>0.59090909090909094</v>
      </c>
      <c r="M34" s="74">
        <f t="shared" si="2"/>
        <v>65</v>
      </c>
      <c r="N34" s="75">
        <f>'Test 1'!I13</f>
        <v>6</v>
      </c>
      <c r="O34" s="75" t="str">
        <f>'Test 2'!I13</f>
        <v>INVALID MARK</v>
      </c>
      <c r="P34" s="75">
        <f>'Oral Assignment 1'!I13</f>
        <v>12</v>
      </c>
      <c r="Q34" s="75">
        <f>'Test 4'!I13</f>
        <v>47</v>
      </c>
    </row>
    <row r="35" spans="4:17" x14ac:dyDescent="0.25">
      <c r="D35" s="73" t="s">
        <v>95</v>
      </c>
      <c r="E35" s="73" t="s">
        <v>99</v>
      </c>
      <c r="F35" s="88" t="s">
        <v>98</v>
      </c>
      <c r="G35" s="74" t="str">
        <f t="shared" si="8"/>
        <v>NO SUPP</v>
      </c>
      <c r="H35" s="74" t="str">
        <f t="shared" si="9"/>
        <v>PASS</v>
      </c>
      <c r="I35" s="74" t="str">
        <f t="shared" si="3"/>
        <v>B-</v>
      </c>
      <c r="J35" s="89">
        <f t="shared" si="4"/>
        <v>0.60872727272727267</v>
      </c>
      <c r="K35" s="89">
        <f>IF(ISNUMBER(FIND("MISSING MARK", Exam!I14)), Exam!I14, IF(ISNUMBER(FIND("INVALID MARK", Exam!I14)), Exam!I14, Exam!H14))</f>
        <v>0.69</v>
      </c>
      <c r="L35" s="89">
        <f t="shared" si="10"/>
        <v>0.55454545454545456</v>
      </c>
      <c r="M35" s="74">
        <f t="shared" si="2"/>
        <v>61</v>
      </c>
      <c r="N35" s="75" t="str">
        <f>'Test 1'!I14</f>
        <v>INVALID MARK</v>
      </c>
      <c r="O35" s="75">
        <f>'Test 2'!I14</f>
        <v>17</v>
      </c>
      <c r="P35" s="75">
        <f>'Oral Assignment 1'!I14</f>
        <v>13</v>
      </c>
      <c r="Q35" s="75">
        <f>'Test 4'!I14</f>
        <v>31</v>
      </c>
    </row>
    <row r="36" spans="4:17" x14ac:dyDescent="0.25">
      <c r="D36" s="73" t="s">
        <v>95</v>
      </c>
      <c r="E36" s="73" t="s">
        <v>96</v>
      </c>
      <c r="F36" s="88" t="s">
        <v>100</v>
      </c>
      <c r="G36" s="74" t="str">
        <f t="shared" si="8"/>
        <v>NO SUPP</v>
      </c>
      <c r="H36" s="74" t="str">
        <f t="shared" si="9"/>
        <v>PASS</v>
      </c>
      <c r="I36" s="74" t="str">
        <f t="shared" si="3"/>
        <v>B</v>
      </c>
      <c r="J36" s="89">
        <f t="shared" si="4"/>
        <v>0.68472727272727274</v>
      </c>
      <c r="K36" s="89">
        <f>IF(ISNUMBER(FIND("MISSING MARK", Exam!I15)), Exam!I15, IF(ISNUMBER(FIND("INVALID MARK", Exam!I15)), Exam!I15, Exam!H15))</f>
        <v>0.80500000000000005</v>
      </c>
      <c r="L36" s="89">
        <f t="shared" si="10"/>
        <v>0.6045454545454545</v>
      </c>
      <c r="M36" s="74">
        <f t="shared" si="2"/>
        <v>66.5</v>
      </c>
      <c r="N36" s="75">
        <f>'Test 1'!I15</f>
        <v>9</v>
      </c>
      <c r="O36" s="75">
        <f>'Test 2'!I15</f>
        <v>12.5</v>
      </c>
      <c r="P36" s="75" t="str">
        <f>'Oral Assignment 1'!I15</f>
        <v>MISSING MARK</v>
      </c>
      <c r="Q36" s="75">
        <f>'Test 4'!I15</f>
        <v>45</v>
      </c>
    </row>
    <row r="37" spans="4:17" x14ac:dyDescent="0.25">
      <c r="D37" s="73" t="s">
        <v>2</v>
      </c>
      <c r="E37" s="73" t="s">
        <v>96</v>
      </c>
      <c r="F37" s="88"/>
      <c r="G37" s="74" t="str">
        <f t="shared" ref="G37" si="11">IF(AND(K37&gt;=D$13, J37&gt;=D$11), IF(OR(K37&lt;D$12, J37&lt;D$10), "WRITE SUPP", "NO SUPP"), "NO SUPP")</f>
        <v>NO SUPP</v>
      </c>
      <c r="H37" s="74" t="str">
        <f t="shared" ref="H37" si="12">IF(K37&gt;=D$12, IF(J37&gt;=D$10, "PASS", "FAIL"), "FAIL")</f>
        <v>PASS</v>
      </c>
      <c r="I37" s="74" t="str">
        <f t="shared" si="3"/>
        <v>B+</v>
      </c>
      <c r="J37" s="89">
        <f t="shared" si="4"/>
        <v>0.73345454545454558</v>
      </c>
      <c r="K37" s="89">
        <f>IF(ISNUMBER(FIND("MISSING MARK", Exam!I16)), Exam!I16, IF(ISNUMBER(FIND("INVALID MARK", Exam!I16)), Exam!I16, Exam!H16))</f>
        <v>0.77</v>
      </c>
      <c r="L37" s="89">
        <f t="shared" ref="L37" si="13">M37/M$27</f>
        <v>0.70909090909090911</v>
      </c>
      <c r="M37" s="74">
        <f t="shared" si="2"/>
        <v>78</v>
      </c>
      <c r="N37" s="75">
        <f>'Test 1'!I16</f>
        <v>10</v>
      </c>
      <c r="O37" s="75">
        <f>'Test 2'!I16</f>
        <v>19.499999999999996</v>
      </c>
      <c r="P37" s="75">
        <f>'Oral Assignment 1'!I16</f>
        <v>12.5</v>
      </c>
      <c r="Q37" s="75">
        <f>'Test 4'!I16</f>
        <v>36</v>
      </c>
    </row>
    <row r="38" spans="4:17" x14ac:dyDescent="0.25">
      <c r="D38" s="73" t="s">
        <v>102</v>
      </c>
      <c r="E38" s="73" t="s">
        <v>101</v>
      </c>
      <c r="F38" s="88" t="s">
        <v>103</v>
      </c>
      <c r="G38" s="74" t="str">
        <f t="shared" ref="G38" si="14">IF(AND(K38&gt;=D$13, J38&gt;=D$11), IF(OR(K38&lt;D$12, J38&lt;D$10), "WRITE SUPP", "NO SUPP"), "NO SUPP")</f>
        <v>NO SUPP</v>
      </c>
      <c r="H38" s="74" t="str">
        <f t="shared" ref="H38" si="15">IF(K38&gt;=D$12, IF(J38&gt;=D$10, "PASS", "FAIL"), "FAIL")</f>
        <v>PASS</v>
      </c>
      <c r="I38" s="74" t="str">
        <f t="shared" si="3"/>
        <v>B-</v>
      </c>
      <c r="J38" s="89">
        <f t="shared" ref="J38" si="16">IFERROR(K$26*K38+L$26*L38, L$26*L38)</f>
        <v>0.62781818181818172</v>
      </c>
      <c r="K38" s="89">
        <f>IF(ISNUMBER(FIND("MISSING MARK", Exam!I17)), Exam!I17, IF(ISNUMBER(FIND("INVALID MARK", Exam!I17)), Exam!I17, Exam!H17))</f>
        <v>0.69</v>
      </c>
      <c r="L38" s="89">
        <f t="shared" ref="L38" si="17">M38/M$27</f>
        <v>0.58636363636363631</v>
      </c>
      <c r="M38" s="74">
        <f t="shared" si="2"/>
        <v>64.5</v>
      </c>
      <c r="N38" s="75">
        <f>'Test 1'!I17</f>
        <v>7</v>
      </c>
      <c r="O38" s="75">
        <f>'Test 2'!I17</f>
        <v>18.499999999999996</v>
      </c>
      <c r="P38" s="75" t="str">
        <f>'Oral Assignment 1'!I17</f>
        <v>INVALID MARK</v>
      </c>
      <c r="Q38" s="75">
        <f>'Test 4'!I17</f>
        <v>39</v>
      </c>
    </row>
  </sheetData>
  <dataConsolidate/>
  <mergeCells count="13">
    <mergeCell ref="F8:I8"/>
    <mergeCell ref="F7:I7"/>
    <mergeCell ref="F3:I6"/>
    <mergeCell ref="F13:I13"/>
    <mergeCell ref="F12:I12"/>
    <mergeCell ref="F11:I11"/>
    <mergeCell ref="F10:I10"/>
    <mergeCell ref="K19:L19"/>
    <mergeCell ref="K14:L14"/>
    <mergeCell ref="K15:L15"/>
    <mergeCell ref="K16:L16"/>
    <mergeCell ref="K17:L17"/>
    <mergeCell ref="K18:L18"/>
  </mergeCells>
  <conditionalFormatting sqref="I28:I38">
    <cfRule type="cellIs" dxfId="89" priority="4415" operator="equal">
      <formula>$L$4</formula>
    </cfRule>
    <cfRule type="cellIs" dxfId="88" priority="4168" operator="equal">
      <formula>$L$5</formula>
    </cfRule>
    <cfRule type="cellIs" dxfId="87" priority="4167" operator="equal">
      <formula>$L$6</formula>
    </cfRule>
    <cfRule type="cellIs" dxfId="86" priority="4165" operator="equal">
      <formula>$L$8</formula>
    </cfRule>
    <cfRule type="cellIs" dxfId="85" priority="5" operator="equal">
      <formula>$L$9</formula>
    </cfRule>
    <cfRule type="cellIs" dxfId="84" priority="3" operator="equal">
      <formula>$L$11</formula>
    </cfRule>
  </conditionalFormatting>
  <conditionalFormatting sqref="G28">
    <cfRule type="containsText" dxfId="83" priority="4414" operator="containsText" text="WRITE SUPP">
      <formula>NOT(ISERROR(SEARCH("WRITE SUPP",G28)))</formula>
    </cfRule>
  </conditionalFormatting>
  <conditionalFormatting sqref="K28:K37">
    <cfRule type="containsText" dxfId="82" priority="833" operator="containsText" text="MISSING MARK">
      <formula>NOT(ISERROR(SEARCH("MISSING MARK",K28)))</formula>
    </cfRule>
    <cfRule type="containsText" dxfId="81" priority="4410" operator="containsText" text="INVALID MARK">
      <formula>NOT(ISERROR(SEARCH("INVALID MARK",K28)))</formula>
    </cfRule>
    <cfRule type="cellIs" dxfId="80" priority="4417" operator="lessThan">
      <formula>$D$12</formula>
    </cfRule>
    <cfRule type="cellIs" priority="4418" operator="greaterThanOrEqual">
      <formula>$D$12</formula>
    </cfRule>
    <cfRule type="expression" dxfId="79" priority="4419">
      <formula>"&gt;=$D$10"</formula>
    </cfRule>
  </conditionalFormatting>
  <conditionalFormatting sqref="N28">
    <cfRule type="containsText" dxfId="78" priority="4411" operator="containsText" text="INVALID MARK">
      <formula>NOT(ISERROR(SEARCH("INVALID MARK",N28)))</formula>
    </cfRule>
    <cfRule type="containsText" dxfId="77" priority="4412" operator="containsText" text="INVALID ENTRY">
      <formula>NOT(ISERROR(SEARCH("INVALID ENTRY",N28)))</formula>
    </cfRule>
    <cfRule type="containsText" dxfId="76" priority="4413" operator="containsText" text="MISSING MARK">
      <formula>NOT(ISERROR(SEARCH("MISSING MARK",N28)))</formula>
    </cfRule>
  </conditionalFormatting>
  <conditionalFormatting sqref="H28">
    <cfRule type="containsText" dxfId="75" priority="4409" operator="containsText" text="FAIL">
      <formula>NOT(ISERROR(SEARCH("FAIL",H28)))</formula>
    </cfRule>
  </conditionalFormatting>
  <conditionalFormatting sqref="I28:I38">
    <cfRule type="cellIs" dxfId="74" priority="1" operator="equal">
      <formula>$L$13</formula>
    </cfRule>
    <cfRule type="cellIs" dxfId="73" priority="2" operator="equal">
      <formula>$L$12</formula>
    </cfRule>
    <cfRule type="cellIs" dxfId="72" priority="4" operator="equal">
      <formula>$L$10</formula>
    </cfRule>
    <cfRule type="cellIs" dxfId="71" priority="4166" operator="equal">
      <formula>$L$7</formula>
    </cfRule>
  </conditionalFormatting>
  <conditionalFormatting sqref="G29:G31">
    <cfRule type="containsText" dxfId="70" priority="973" operator="containsText" text="WRITE SUPP">
      <formula>NOT(ISERROR(SEARCH("WRITE SUPP",G29)))</formula>
    </cfRule>
  </conditionalFormatting>
  <conditionalFormatting sqref="J28:J37">
    <cfRule type="cellIs" dxfId="69" priority="975" operator="lessThan">
      <formula>$D$10</formula>
    </cfRule>
  </conditionalFormatting>
  <conditionalFormatting sqref="N29:N31">
    <cfRule type="containsText" dxfId="68" priority="970" operator="containsText" text="INVALID MARK">
      <formula>NOT(ISERROR(SEARCH("INVALID MARK",N29)))</formula>
    </cfRule>
    <cfRule type="containsText" dxfId="67" priority="971" operator="containsText" text="INVALID ENTRY">
      <formula>NOT(ISERROR(SEARCH("INVALID ENTRY",N29)))</formula>
    </cfRule>
    <cfRule type="containsText" dxfId="66" priority="972" operator="containsText" text="MISSING MARK">
      <formula>NOT(ISERROR(SEARCH("MISSING MARK",N29)))</formula>
    </cfRule>
  </conditionalFormatting>
  <conditionalFormatting sqref="H29:H31">
    <cfRule type="containsText" dxfId="65" priority="968" operator="containsText" text="FAIL">
      <formula>NOT(ISERROR(SEARCH("FAIL",H29)))</formula>
    </cfRule>
  </conditionalFormatting>
  <conditionalFormatting sqref="O28">
    <cfRule type="containsText" dxfId="64" priority="961" operator="containsText" text="INVALID MARK">
      <formula>NOT(ISERROR(SEARCH("INVALID MARK",O28)))</formula>
    </cfRule>
    <cfRule type="containsText" dxfId="63" priority="962" operator="containsText" text="INVALID ENTRY">
      <formula>NOT(ISERROR(SEARCH("INVALID ENTRY",O28)))</formula>
    </cfRule>
    <cfRule type="containsText" dxfId="62" priority="963" operator="containsText" text="MISSING MARK">
      <formula>NOT(ISERROR(SEARCH("MISSING MARK",O28)))</formula>
    </cfRule>
  </conditionalFormatting>
  <conditionalFormatting sqref="O29:O31">
    <cfRule type="containsText" dxfId="61" priority="958" operator="containsText" text="INVALID MARK">
      <formula>NOT(ISERROR(SEARCH("INVALID MARK",O29)))</formula>
    </cfRule>
    <cfRule type="containsText" dxfId="60" priority="959" operator="containsText" text="INVALID ENTRY">
      <formula>NOT(ISERROR(SEARCH("INVALID ENTRY",O29)))</formula>
    </cfRule>
    <cfRule type="containsText" dxfId="59" priority="960" operator="containsText" text="MISSING MARK">
      <formula>NOT(ISERROR(SEARCH("MISSING MARK",O29)))</formula>
    </cfRule>
  </conditionalFormatting>
  <conditionalFormatting sqref="P28">
    <cfRule type="containsText" dxfId="58" priority="955" operator="containsText" text="INVALID MARK">
      <formula>NOT(ISERROR(SEARCH("INVALID MARK",P28)))</formula>
    </cfRule>
    <cfRule type="containsText" dxfId="57" priority="956" operator="containsText" text="INVALID ENTRY">
      <formula>NOT(ISERROR(SEARCH("INVALID ENTRY",P28)))</formula>
    </cfRule>
    <cfRule type="containsText" dxfId="56" priority="957" operator="containsText" text="MISSING MARK">
      <formula>NOT(ISERROR(SEARCH("MISSING MARK",P28)))</formula>
    </cfRule>
  </conditionalFormatting>
  <conditionalFormatting sqref="P29:P31">
    <cfRule type="containsText" dxfId="55" priority="952" operator="containsText" text="INVALID MARK">
      <formula>NOT(ISERROR(SEARCH("INVALID MARK",P29)))</formula>
    </cfRule>
    <cfRule type="containsText" dxfId="54" priority="953" operator="containsText" text="INVALID ENTRY">
      <formula>NOT(ISERROR(SEARCH("INVALID ENTRY",P29)))</formula>
    </cfRule>
    <cfRule type="containsText" dxfId="53" priority="954" operator="containsText" text="MISSING MARK">
      <formula>NOT(ISERROR(SEARCH("MISSING MARK",P29)))</formula>
    </cfRule>
  </conditionalFormatting>
  <conditionalFormatting sqref="Q28">
    <cfRule type="containsText" dxfId="52" priority="943" operator="containsText" text="INVALID MARK">
      <formula>NOT(ISERROR(SEARCH("INVALID MARK",Q28)))</formula>
    </cfRule>
    <cfRule type="containsText" dxfId="51" priority="944" operator="containsText" text="INVALID ENTRY">
      <formula>NOT(ISERROR(SEARCH("INVALID ENTRY",Q28)))</formula>
    </cfRule>
    <cfRule type="containsText" dxfId="50" priority="945" operator="containsText" text="MISSING MARK">
      <formula>NOT(ISERROR(SEARCH("MISSING MARK",Q28)))</formula>
    </cfRule>
  </conditionalFormatting>
  <conditionalFormatting sqref="Q29:Q31">
    <cfRule type="containsText" dxfId="49" priority="940" operator="containsText" text="INVALID MARK">
      <formula>NOT(ISERROR(SEARCH("INVALID MARK",Q29)))</formula>
    </cfRule>
    <cfRule type="containsText" dxfId="48" priority="941" operator="containsText" text="INVALID ENTRY">
      <formula>NOT(ISERROR(SEARCH("INVALID ENTRY",Q29)))</formula>
    </cfRule>
    <cfRule type="containsText" dxfId="47" priority="942" operator="containsText" text="MISSING MARK">
      <formula>NOT(ISERROR(SEARCH("MISSING MARK",Q29)))</formula>
    </cfRule>
  </conditionalFormatting>
  <conditionalFormatting sqref="G32:G36">
    <cfRule type="containsText" dxfId="46" priority="934" operator="containsText" text="WRITE SUPP">
      <formula>NOT(ISERROR(SEARCH("WRITE SUPP",G32)))</formula>
    </cfRule>
  </conditionalFormatting>
  <conditionalFormatting sqref="N32:N36">
    <cfRule type="containsText" dxfId="45" priority="931" operator="containsText" text="INVALID MARK">
      <formula>NOT(ISERROR(SEARCH("INVALID MARK",N32)))</formula>
    </cfRule>
    <cfRule type="containsText" dxfId="44" priority="932" operator="containsText" text="INVALID ENTRY">
      <formula>NOT(ISERROR(SEARCH("INVALID ENTRY",N32)))</formula>
    </cfRule>
    <cfRule type="containsText" dxfId="43" priority="933" operator="containsText" text="MISSING MARK">
      <formula>NOT(ISERROR(SEARCH("MISSING MARK",N32)))</formula>
    </cfRule>
  </conditionalFormatting>
  <conditionalFormatting sqref="H32:H36">
    <cfRule type="containsText" dxfId="42" priority="929" operator="containsText" text="FAIL">
      <formula>NOT(ISERROR(SEARCH("FAIL",H32)))</formula>
    </cfRule>
  </conditionalFormatting>
  <conditionalFormatting sqref="O32:O36">
    <cfRule type="containsText" dxfId="41" priority="922" operator="containsText" text="INVALID MARK">
      <formula>NOT(ISERROR(SEARCH("INVALID MARK",O32)))</formula>
    </cfRule>
    <cfRule type="containsText" dxfId="40" priority="923" operator="containsText" text="INVALID ENTRY">
      <formula>NOT(ISERROR(SEARCH("INVALID ENTRY",O32)))</formula>
    </cfRule>
    <cfRule type="containsText" dxfId="39" priority="924" operator="containsText" text="MISSING MARK">
      <formula>NOT(ISERROR(SEARCH("MISSING MARK",O32)))</formula>
    </cfRule>
  </conditionalFormatting>
  <conditionalFormatting sqref="P32:P36">
    <cfRule type="containsText" dxfId="38" priority="919" operator="containsText" text="INVALID MARK">
      <formula>NOT(ISERROR(SEARCH("INVALID MARK",P32)))</formula>
    </cfRule>
    <cfRule type="containsText" dxfId="37" priority="920" operator="containsText" text="INVALID ENTRY">
      <formula>NOT(ISERROR(SEARCH("INVALID ENTRY",P32)))</formula>
    </cfRule>
    <cfRule type="containsText" dxfId="36" priority="921" operator="containsText" text="MISSING MARK">
      <formula>NOT(ISERROR(SEARCH("MISSING MARK",P32)))</formula>
    </cfRule>
  </conditionalFormatting>
  <conditionalFormatting sqref="Q32:Q36">
    <cfRule type="containsText" dxfId="35" priority="916" operator="containsText" text="INVALID MARK">
      <formula>NOT(ISERROR(SEARCH("INVALID MARK",Q32)))</formula>
    </cfRule>
    <cfRule type="containsText" dxfId="34" priority="917" operator="containsText" text="INVALID ENTRY">
      <formula>NOT(ISERROR(SEARCH("INVALID ENTRY",Q32)))</formula>
    </cfRule>
    <cfRule type="containsText" dxfId="33" priority="918" operator="containsText" text="MISSING MARK">
      <formula>NOT(ISERROR(SEARCH("MISSING MARK",Q32)))</formula>
    </cfRule>
  </conditionalFormatting>
  <conditionalFormatting sqref="G37">
    <cfRule type="containsText" dxfId="32" priority="901" operator="containsText" text="WRITE SUPP">
      <formula>NOT(ISERROR(SEARCH("WRITE SUPP",G37)))</formula>
    </cfRule>
  </conditionalFormatting>
  <conditionalFormatting sqref="N37">
    <cfRule type="containsText" dxfId="31" priority="898" operator="containsText" text="INVALID MARK">
      <formula>NOT(ISERROR(SEARCH("INVALID MARK",N37)))</formula>
    </cfRule>
    <cfRule type="containsText" dxfId="30" priority="899" operator="containsText" text="INVALID ENTRY">
      <formula>NOT(ISERROR(SEARCH("INVALID ENTRY",N37)))</formula>
    </cfRule>
    <cfRule type="containsText" dxfId="29" priority="900" operator="containsText" text="MISSING MARK">
      <formula>NOT(ISERROR(SEARCH("MISSING MARK",N37)))</formula>
    </cfRule>
  </conditionalFormatting>
  <conditionalFormatting sqref="H37">
    <cfRule type="containsText" dxfId="28" priority="896" operator="containsText" text="FAIL">
      <formula>NOT(ISERROR(SEARCH("FAIL",H37)))</formula>
    </cfRule>
  </conditionalFormatting>
  <conditionalFormatting sqref="O37">
    <cfRule type="containsText" dxfId="27" priority="889" operator="containsText" text="INVALID MARK">
      <formula>NOT(ISERROR(SEARCH("INVALID MARK",O37)))</formula>
    </cfRule>
    <cfRule type="containsText" dxfId="26" priority="890" operator="containsText" text="INVALID ENTRY">
      <formula>NOT(ISERROR(SEARCH("INVALID ENTRY",O37)))</formula>
    </cfRule>
    <cfRule type="containsText" dxfId="25" priority="891" operator="containsText" text="MISSING MARK">
      <formula>NOT(ISERROR(SEARCH("MISSING MARK",O37)))</formula>
    </cfRule>
  </conditionalFormatting>
  <conditionalFormatting sqref="P37">
    <cfRule type="containsText" dxfId="24" priority="886" operator="containsText" text="INVALID MARK">
      <formula>NOT(ISERROR(SEARCH("INVALID MARK",P37)))</formula>
    </cfRule>
    <cfRule type="containsText" dxfId="23" priority="887" operator="containsText" text="INVALID ENTRY">
      <formula>NOT(ISERROR(SEARCH("INVALID ENTRY",P37)))</formula>
    </cfRule>
    <cfRule type="containsText" dxfId="22" priority="888" operator="containsText" text="MISSING MARK">
      <formula>NOT(ISERROR(SEARCH("MISSING MARK",P37)))</formula>
    </cfRule>
  </conditionalFormatting>
  <conditionalFormatting sqref="Q37">
    <cfRule type="containsText" dxfId="21" priority="883" operator="containsText" text="INVALID MARK">
      <formula>NOT(ISERROR(SEARCH("INVALID MARK",Q37)))</formula>
    </cfRule>
    <cfRule type="containsText" dxfId="20" priority="884" operator="containsText" text="INVALID ENTRY">
      <formula>NOT(ISERROR(SEARCH("INVALID ENTRY",Q37)))</formula>
    </cfRule>
    <cfRule type="containsText" dxfId="19" priority="885" operator="containsText" text="MISSING MARK">
      <formula>NOT(ISERROR(SEARCH("MISSING MARK",Q37)))</formula>
    </cfRule>
  </conditionalFormatting>
  <conditionalFormatting sqref="K38">
    <cfRule type="containsText" dxfId="18" priority="783" operator="containsText" text="MISSING MARK">
      <formula>NOT(ISERROR(SEARCH("MISSING MARK",K38)))</formula>
    </cfRule>
    <cfRule type="containsText" dxfId="17" priority="804" operator="containsText" text="INVALID MARK">
      <formula>NOT(ISERROR(SEARCH("INVALID MARK",K38)))</formula>
    </cfRule>
    <cfRule type="cellIs" dxfId="16" priority="805" operator="lessThan">
      <formula>$D$12</formula>
    </cfRule>
    <cfRule type="cellIs" priority="806" operator="greaterThanOrEqual">
      <formula>$D$12</formula>
    </cfRule>
    <cfRule type="expression" dxfId="15" priority="807">
      <formula>"&gt;=$D$10"</formula>
    </cfRule>
  </conditionalFormatting>
  <conditionalFormatting sqref="J38">
    <cfRule type="cellIs" dxfId="14" priority="803" operator="lessThan">
      <formula>$D$10</formula>
    </cfRule>
  </conditionalFormatting>
  <conditionalFormatting sqref="G38">
    <cfRule type="containsText" dxfId="13" priority="801" operator="containsText" text="WRITE SUPP">
      <formula>NOT(ISERROR(SEARCH("WRITE SUPP",G38)))</formula>
    </cfRule>
  </conditionalFormatting>
  <conditionalFormatting sqref="N38">
    <cfRule type="containsText" dxfId="12" priority="798" operator="containsText" text="INVALID MARK">
      <formula>NOT(ISERROR(SEARCH("INVALID MARK",N38)))</formula>
    </cfRule>
    <cfRule type="containsText" dxfId="11" priority="799" operator="containsText" text="INVALID ENTRY">
      <formula>NOT(ISERROR(SEARCH("INVALID ENTRY",N38)))</formula>
    </cfRule>
    <cfRule type="containsText" dxfId="10" priority="800" operator="containsText" text="MISSING MARK">
      <formula>NOT(ISERROR(SEARCH("MISSING MARK",N38)))</formula>
    </cfRule>
  </conditionalFormatting>
  <conditionalFormatting sqref="H38">
    <cfRule type="containsText" dxfId="9" priority="797" operator="containsText" text="FAIL">
      <formula>NOT(ISERROR(SEARCH("FAIL",H38)))</formula>
    </cfRule>
  </conditionalFormatting>
  <conditionalFormatting sqref="O38">
    <cfRule type="containsText" dxfId="8" priority="790" operator="containsText" text="INVALID MARK">
      <formula>NOT(ISERROR(SEARCH("INVALID MARK",O38)))</formula>
    </cfRule>
    <cfRule type="containsText" dxfId="7" priority="791" operator="containsText" text="INVALID ENTRY">
      <formula>NOT(ISERROR(SEARCH("INVALID ENTRY",O38)))</formula>
    </cfRule>
    <cfRule type="containsText" dxfId="6" priority="792" operator="containsText" text="MISSING MARK">
      <formula>NOT(ISERROR(SEARCH("MISSING MARK",O38)))</formula>
    </cfRule>
  </conditionalFormatting>
  <conditionalFormatting sqref="P38">
    <cfRule type="containsText" dxfId="5" priority="787" operator="containsText" text="INVALID MARK">
      <formula>NOT(ISERROR(SEARCH("INVALID MARK",P38)))</formula>
    </cfRule>
    <cfRule type="containsText" dxfId="4" priority="788" operator="containsText" text="INVALID ENTRY">
      <formula>NOT(ISERROR(SEARCH("INVALID ENTRY",P38)))</formula>
    </cfRule>
    <cfRule type="containsText" dxfId="3" priority="789" operator="containsText" text="MISSING MARK">
      <formula>NOT(ISERROR(SEARCH("MISSING MARK",P38)))</formula>
    </cfRule>
  </conditionalFormatting>
  <conditionalFormatting sqref="Q38">
    <cfRule type="containsText" dxfId="2" priority="784" operator="containsText" text="INVALID MARK">
      <formula>NOT(ISERROR(SEARCH("INVALID MARK",Q38)))</formula>
    </cfRule>
    <cfRule type="containsText" dxfId="1" priority="785" operator="containsText" text="INVALID ENTRY">
      <formula>NOT(ISERROR(SEARCH("INVALID ENTRY",Q38)))</formula>
    </cfRule>
    <cfRule type="containsText" dxfId="0" priority="786" operator="containsText" text="MISSING MARK">
      <formula>NOT(ISERROR(SEARCH("MISSING MARK",Q38)))</formula>
    </cfRule>
  </conditionalFormatting>
  <dataValidations disablePrompts="1"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/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74</v>
      </c>
      <c r="G3" s="4">
        <v>0</v>
      </c>
    </row>
    <row r="4" spans="3:126" ht="123.75" customHeight="1" thickBot="1" x14ac:dyDescent="0.3">
      <c r="C4" s="21"/>
      <c r="F4" s="122" t="s">
        <v>75</v>
      </c>
      <c r="G4" s="122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" si="1">IF(K7/K$6-J7&gt;=0, K7/K$6-J7, 0)</f>
        <v>0.4</v>
      </c>
      <c r="I7" s="20">
        <f>IF(ISOVERMAX(L7:U7),"INVALID MARK",IF(COUNT(L7:U7)=COUNT(L$6:U$6),IFERROR(H7*K$6,),IF(COUNT(L7:U7)&lt;COUNT(L$6:U$6),"MISSING MARK","INVALID ENTRY")))</f>
        <v>4</v>
      </c>
      <c r="J7" s="28">
        <v>0</v>
      </c>
      <c r="K7" s="24">
        <f t="shared" ref="K7" si="2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ref="H8:H10" si="4">IF(K8/K$6-J8&gt;=0, K8/K$6-J8, 0)</f>
        <v>0.8</v>
      </c>
      <c r="I8" s="20">
        <f>IF(ISOVERMAX(L8:U8),"INVALID MARK",IF(COUNT(L8:U8)=COUNT(L$6:U$6),IFERROR(H8*K$6,),IF(COUNT(L8:U8)&lt;COUNT(L$6:U$6),"MISSING MARK","INVALID ENTRY")))</f>
        <v>8</v>
      </c>
      <c r="J8" s="28">
        <v>0</v>
      </c>
      <c r="K8" s="24">
        <f t="shared" ref="K8:K10" si="5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4"/>
        <v>0.4</v>
      </c>
      <c r="I9" s="20">
        <f>IF(ISOVERMAX(L9:U9),"INVALID MARK",IF(COUNT(L9:U9)=COUNT(L$6:U$6),IFERROR(H9*K$6,),IF(COUNT(L9:U9)&lt;COUNT(L$6:U$6),"MISSING MARK","INVALID ENTRY")))</f>
        <v>4</v>
      </c>
      <c r="J9" s="28">
        <v>0</v>
      </c>
      <c r="K9" s="24">
        <f t="shared" si="5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4"/>
        <v>0.5</v>
      </c>
      <c r="I10" s="20">
        <f>IF(ISOVERMAX(L10:U10),"INVALID MARK",IF(COUNT(L10:U10)=COUNT(L$6:U$6),IFERROR(H10*K$6,),IF(COUNT(L10:U10)&lt;COUNT(L$6:U$6),"MISSING MARK","INVALID ENTRY")))</f>
        <v>5</v>
      </c>
      <c r="J10" s="28">
        <v>0</v>
      </c>
      <c r="K10" s="24">
        <f t="shared" si="5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6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7">IF(K11/K$6-J11&gt;=0, K11/K$6-J11, 0)</f>
        <v>0.6</v>
      </c>
      <c r="I11" s="20">
        <f>IF(ISOVERMAX(L11:U11),"INVALID MARK",IF(COUNT(L11:U11)=COUNT(L$6:U$6),IFERROR(H11*K$6,),IF(COUNT(L11:U11)&lt;COUNT(L$6:U$6),"MISSING MARK","INVALID ENTRY")))</f>
        <v>6</v>
      </c>
      <c r="J11" s="28">
        <v>0</v>
      </c>
      <c r="K11" s="24">
        <f t="shared" ref="K11:K15" si="8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6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7"/>
        <v>0.35000000000000003</v>
      </c>
      <c r="I12" s="20">
        <f>IF(ISOVERMAX(L12:U12),"INVALID MARK",IF(COUNT(L12:U12)=COUNT(L$6:U$6),IFERROR(H12*K$6,),IF(COUNT(L12:U12)&lt;COUNT(L$6:U$6),"MISSING MARK","INVALID ENTRY")))</f>
        <v>3.5000000000000004</v>
      </c>
      <c r="J12" s="28">
        <v>0.05</v>
      </c>
      <c r="K12" s="24">
        <f t="shared" si="8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6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7"/>
        <v>0.6</v>
      </c>
      <c r="I13" s="20">
        <f>IF(ISOVERMAX(L13:U13),"INVALID MARK",IF(COUNT(L13:U13)=COUNT(L$6:U$6),IFERROR(H13*K$6,),IF(COUNT(L13:U13)&lt;COUNT(L$6:U$6),"MISSING MARK","INVALID ENTRY")))</f>
        <v>6</v>
      </c>
      <c r="J13" s="28">
        <v>0</v>
      </c>
      <c r="K13" s="24">
        <f t="shared" si="8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6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7"/>
        <v>5.6</v>
      </c>
      <c r="I14" s="20" t="str">
        <f>IF(ISOVERMAX(L14:U14),"INVALID MARK",IF(COUNT(L14:U14)=COUNT(L$6:U$6),IFERROR(H14*K$6,),IF(COUNT(L14:U14)&lt;COUNT(L$6:U$6),"MISSING MARK","INVALID ENTRY")))</f>
        <v>INVALID MARK</v>
      </c>
      <c r="J14" s="28">
        <v>0</v>
      </c>
      <c r="K14" s="24">
        <f t="shared" si="8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6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7"/>
        <v>0.9</v>
      </c>
      <c r="I15" s="20">
        <f>IF(ISOVERMAX(L15:U15),"INVALID MARK",IF(COUNT(L15:U15)=COUNT(L$6:U$6),IFERROR(H15*K$6,),IF(COUNT(L15:U15)&lt;COUNT(L$6:U$6),"MISSING MARK","INVALID ENTRY")))</f>
        <v>9</v>
      </c>
      <c r="J15" s="28">
        <v>0</v>
      </c>
      <c r="K15" s="24">
        <f t="shared" si="8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9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10">IF(K16/K$6-J16&gt;=0, K16/K$6-J16, 0)</f>
        <v>1</v>
      </c>
      <c r="I16" s="20">
        <f>IF(ISOVERMAX(L16:U16),"INVALID MARK",IF(COUNT(L16:U16)=COUNT(L$6:U$6),IFERROR(H16*K$6,),IF(COUNT(L16:U16)&lt;COUNT(L$6:U$6),"MISSING MARK","INVALID ENTRY")))</f>
        <v>10</v>
      </c>
      <c r="J16" s="28">
        <v>0</v>
      </c>
      <c r="K16" s="24">
        <f t="shared" ref="K16" si="11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2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3">IF(K17/K$6-J17&gt;=0, K17/K$6-J17, 0)</f>
        <v>0.7</v>
      </c>
      <c r="I17" s="20">
        <f>IF(ISOVERMAX(L17:U17),"INVALID MARK",IF(COUNT(L17:U17)=COUNT(L$6:U$6),IFERROR(H17*K$6,),IF(COUNT(L17:U17)&lt;COUNT(L$6:U$6),"MISSING MARK","INVALID ENTRY")))</f>
        <v>7</v>
      </c>
      <c r="J17" s="28">
        <v>0</v>
      </c>
      <c r="K17" s="24">
        <f t="shared" ref="K17" si="14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416" priority="336" operator="containsText" text="INVALID MARK">
      <formula>NOT(ISERROR(SEARCH("INVALID MARK",I7)))</formula>
    </cfRule>
    <cfRule type="containsText" dxfId="415" priority="337" operator="containsText" text="INVALID ENTRY">
      <formula>NOT(ISERROR(SEARCH("INVALID ENTRY",I7)))</formula>
    </cfRule>
    <cfRule type="containsText" dxfId="414" priority="338" operator="containsText" text="MISSING MARK">
      <formula>NOT(ISERROR(SEARCH("MISSING MARK",I7)))</formula>
    </cfRule>
  </conditionalFormatting>
  <conditionalFormatting sqref="D7">
    <cfRule type="containsText" dxfId="413" priority="166" operator="containsText" text="FAIL">
      <formula>NOT(ISERROR(SEARCH("FAIL",D7)))</formula>
    </cfRule>
    <cfRule type="containsText" dxfId="412" priority="167" operator="containsText" text="PASS">
      <formula>NOT(ISERROR(SEARCH("PASS",D7)))</formula>
    </cfRule>
  </conditionalFormatting>
  <conditionalFormatting sqref="D8:D10">
    <cfRule type="containsText" dxfId="411" priority="151" operator="containsText" text="FAIL">
      <formula>NOT(ISERROR(SEARCH("FAIL",D8)))</formula>
    </cfRule>
    <cfRule type="containsText" dxfId="410" priority="152" operator="containsText" text="PASS">
      <formula>NOT(ISERROR(SEARCH("PASS",D8)))</formula>
    </cfRule>
  </conditionalFormatting>
  <conditionalFormatting sqref="D11:D15">
    <cfRule type="containsText" dxfId="409" priority="146" operator="containsText" text="FAIL">
      <formula>NOT(ISERROR(SEARCH("FAIL",D11)))</formula>
    </cfRule>
    <cfRule type="containsText" dxfId="408" priority="147" operator="containsText" text="PASS">
      <formula>NOT(ISERROR(SEARCH("PASS",D11)))</formula>
    </cfRule>
  </conditionalFormatting>
  <conditionalFormatting sqref="D16">
    <cfRule type="containsText" dxfId="407" priority="141" operator="containsText" text="FAIL">
      <formula>NOT(ISERROR(SEARCH("FAIL",D16)))</formula>
    </cfRule>
    <cfRule type="containsText" dxfId="406" priority="142" operator="containsText" text="PASS">
      <formula>NOT(ISERROR(SEARCH("PASS",D16)))</formula>
    </cfRule>
  </conditionalFormatting>
  <conditionalFormatting sqref="D17">
    <cfRule type="containsText" dxfId="405" priority="121" operator="containsText" text="FAIL">
      <formula>NOT(ISERROR(SEARCH("FAIL",D17)))</formula>
    </cfRule>
    <cfRule type="containsText" dxfId="404" priority="122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319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2" t="s">
        <v>75</v>
      </c>
      <c r="G4" s="122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0.68333333333333335</v>
      </c>
      <c r="I7" s="20">
        <f>IF(ISOVERMAX(L7:U7),"INVALID MARK",IF(COUNT(L7:U7)=COUNT(L$6:U$6),IFERROR(H7*K$6,),IF(COUNT(L7:U7)&lt;COUNT(L$6:U$6),"MISSING MARK","INVALID ENTRY")))</f>
        <v>20.5</v>
      </c>
      <c r="J7" s="28">
        <v>0</v>
      </c>
      <c r="K7" s="24">
        <f t="shared" ref="K7:K10" si="2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0.85</v>
      </c>
      <c r="I8" s="20">
        <f>IF(ISOVERMAX(L8:U8),"INVALID MARK",IF(COUNT(L8:U8)=COUNT(L$6:U$6),IFERROR(H8*K$6,),IF(COUNT(L8:U8)&lt;COUNT(L$6:U$6),"MISSING MARK","INVALID ENTRY")))</f>
        <v>25.5</v>
      </c>
      <c r="J8" s="28">
        <v>0</v>
      </c>
      <c r="K8" s="24">
        <f t="shared" si="2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0.35000000000000003</v>
      </c>
      <c r="I9" s="20">
        <f>IF(ISOVERMAX(L9:U9),"INVALID MARK",IF(COUNT(L9:U9)=COUNT(L$6:U$6),IFERROR(H9*K$6,),IF(COUNT(L9:U9)&lt;COUNT(L$6:U$6),"MISSING MARK","INVALID ENTRY")))</f>
        <v>10.500000000000002</v>
      </c>
      <c r="J9" s="28">
        <v>0.05</v>
      </c>
      <c r="K9" s="24">
        <f t="shared" si="2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0.51666666666666661</v>
      </c>
      <c r="I10" s="20">
        <f>IF(ISOVERMAX(L10:U10),"INVALID MARK",IF(COUNT(L10:U10)=COUNT(L$6:U$6),IFERROR(H10*K$6,),IF(COUNT(L10:U10)&lt;COUNT(L$6:U$6),"MISSING MARK","INVALID ENTRY")))</f>
        <v>15.499999999999998</v>
      </c>
      <c r="J10" s="28">
        <v>0.05</v>
      </c>
      <c r="K10" s="24">
        <f t="shared" si="2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0.54999999999999993</v>
      </c>
      <c r="I11" s="20">
        <f>IF(ISOVERMAX(L11:U11),"INVALID MARK",IF(COUNT(L11:U11)=COUNT(L$6:U$6),IFERROR(H11*K$6,),IF(COUNT(L11:U11)&lt;COUNT(L$6:U$6),"MISSING MARK","INVALID ENTRY")))</f>
        <v>16.499999999999996</v>
      </c>
      <c r="J11" s="28">
        <v>0.05</v>
      </c>
      <c r="K11" s="24">
        <f t="shared" ref="K11:K15" si="6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0.31666666666666665</v>
      </c>
      <c r="I12" s="20">
        <f>IF(ISOVERMAX(L12:U12),"INVALID MARK",IF(COUNT(L12:U12)=COUNT(L$6:U$6),IFERROR(H12*K$6,),IF(COUNT(L12:U12)&lt;COUNT(L$6:U$6),"MISSING MARK","INVALID ENTRY")))</f>
        <v>9.5</v>
      </c>
      <c r="J12" s="28">
        <v>0.05</v>
      </c>
      <c r="K12" s="24">
        <f t="shared" si="6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0.3666666666666667</v>
      </c>
      <c r="I13" s="20" t="str">
        <f>IF(ISOVERMAX(L13:U13),"INVALID MARK",IF(COUNT(L13:U13)=COUNT(L$6:U$6),IFERROR(H13*K$6,),IF(COUNT(L13:U13)&lt;COUNT(L$6:U$6),"MISSING MARK","INVALID ENTRY")))</f>
        <v>INVALID MARK</v>
      </c>
      <c r="J13" s="28">
        <v>0.05</v>
      </c>
      <c r="K13" s="24">
        <f t="shared" si="6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0.56666666666666665</v>
      </c>
      <c r="I14" s="20">
        <f>IF(ISOVERMAX(L14:U14),"INVALID MARK",IF(COUNT(L14:U14)=COUNT(L$6:U$6),IFERROR(H14*K$6,),IF(COUNT(L14:U14)&lt;COUNT(L$6:U$6),"MISSING MARK","INVALID ENTRY")))</f>
        <v>17</v>
      </c>
      <c r="J14" s="28">
        <v>0.05</v>
      </c>
      <c r="K14" s="24">
        <f t="shared" si="6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0.41666666666666669</v>
      </c>
      <c r="I15" s="20">
        <f>IF(ISOVERMAX(L15:U15),"INVALID MARK",IF(COUNT(L15:U15)=COUNT(L$6:U$6),IFERROR(H15*K$6,),IF(COUNT(L15:U15)&lt;COUNT(L$6:U$6),"MISSING MARK","INVALID ENTRY")))</f>
        <v>12.5</v>
      </c>
      <c r="J15" s="28">
        <v>0.05</v>
      </c>
      <c r="K15" s="24">
        <f t="shared" si="6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0.64999999999999991</v>
      </c>
      <c r="I16" s="20">
        <f>IF(ISOVERMAX(L16:U16),"INVALID MARK",IF(COUNT(L16:U16)=COUNT(L$6:U$6),IFERROR(H16*K$6,),IF(COUNT(L16:U16)&lt;COUNT(L$6:U$6),"MISSING MARK","INVALID ENTRY")))</f>
        <v>19.499999999999996</v>
      </c>
      <c r="J16" s="28">
        <v>0.05</v>
      </c>
      <c r="K16" s="24">
        <f t="shared" ref="K16" si="9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0.61666666666666659</v>
      </c>
      <c r="I17" s="20">
        <f>IF(ISOVERMAX(L17:U17),"INVALID MARK",IF(COUNT(L17:U17)=COUNT(L$6:U$6),IFERROR(H17*K$6,),IF(COUNT(L17:U17)&lt;COUNT(L$6:U$6),"MISSING MARK","INVALID ENTRY")))</f>
        <v>18.499999999999996</v>
      </c>
      <c r="J17" s="28">
        <v>0.05</v>
      </c>
      <c r="K17" s="24">
        <f t="shared" ref="K17" si="12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</sheetData>
  <mergeCells count="1">
    <mergeCell ref="F4:G4"/>
  </mergeCells>
  <conditionalFormatting sqref="I7:I17">
    <cfRule type="containsText" dxfId="403" priority="158" operator="containsText" text="INVALID MARK">
      <formula>NOT(ISERROR(SEARCH("INVALID MARK",I7)))</formula>
    </cfRule>
    <cfRule type="containsText" dxfId="402" priority="159" operator="containsText" text="INVALID ENTRY">
      <formula>NOT(ISERROR(SEARCH("INVALID ENTRY",I7)))</formula>
    </cfRule>
    <cfRule type="containsText" dxfId="401" priority="160" operator="containsText" text="MISSING MARK">
      <formula>NOT(ISERROR(SEARCH("MISSING MARK",I7)))</formula>
    </cfRule>
  </conditionalFormatting>
  <conditionalFormatting sqref="D7">
    <cfRule type="containsText" dxfId="400" priority="156" operator="containsText" text="FAIL">
      <formula>NOT(ISERROR(SEARCH("FAIL",D7)))</formula>
    </cfRule>
    <cfRule type="containsText" dxfId="399" priority="157" operator="containsText" text="PASS">
      <formula>NOT(ISERROR(SEARCH("PASS",D7)))</formula>
    </cfRule>
  </conditionalFormatting>
  <conditionalFormatting sqref="D8:D10">
    <cfRule type="containsText" dxfId="398" priority="151" operator="containsText" text="FAIL">
      <formula>NOT(ISERROR(SEARCH("FAIL",D8)))</formula>
    </cfRule>
    <cfRule type="containsText" dxfId="397" priority="152" operator="containsText" text="PASS">
      <formula>NOT(ISERROR(SEARCH("PASS",D8)))</formula>
    </cfRule>
  </conditionalFormatting>
  <conditionalFormatting sqref="D11:D15">
    <cfRule type="containsText" dxfId="396" priority="146" operator="containsText" text="FAIL">
      <formula>NOT(ISERROR(SEARCH("FAIL",D11)))</formula>
    </cfRule>
    <cfRule type="containsText" dxfId="395" priority="147" operator="containsText" text="PASS">
      <formula>NOT(ISERROR(SEARCH("PASS",D11)))</formula>
    </cfRule>
  </conditionalFormatting>
  <conditionalFormatting sqref="D16">
    <cfRule type="containsText" dxfId="394" priority="141" operator="containsText" text="FAIL">
      <formula>NOT(ISERROR(SEARCH("FAIL",D16)))</formula>
    </cfRule>
    <cfRule type="containsText" dxfId="393" priority="142" operator="containsText" text="PASS">
      <formula>NOT(ISERROR(SEARCH("PASS",D16)))</formula>
    </cfRule>
  </conditionalFormatting>
  <conditionalFormatting sqref="D17">
    <cfRule type="containsText" dxfId="392" priority="121" operator="containsText" text="FAIL">
      <formula>NOT(ISERROR(SEARCH("FAIL",D17)))</formula>
    </cfRule>
    <cfRule type="containsText" dxfId="391" priority="12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319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2" t="s">
        <v>75</v>
      </c>
      <c r="G4" s="122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0.8</v>
      </c>
      <c r="I7" s="20">
        <f>IF(ISOVERMAX(L7:U7),"INVALID MARK",IF(COUNT(L7:U7)=COUNT(L$6:U$6),IFERROR(H7*K$6,),IF(COUNT(L7:U7)&lt;COUNT(L$6:U$6),"MISSING MARK","INVALID ENTRY")))</f>
        <v>16</v>
      </c>
      <c r="J7" s="28">
        <v>0</v>
      </c>
      <c r="K7" s="24">
        <f t="shared" ref="K7:K10" si="2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0.95</v>
      </c>
      <c r="I8" s="20">
        <f>IF(ISOVERMAX(L8:U8),"INVALID MARK",IF(COUNT(L8:U8)=COUNT(L$6:U$6),IFERROR(H8*K$6,),IF(COUNT(L8:U8)&lt;COUNT(L$6:U$6),"MISSING MARK","INVALID ENTRY")))</f>
        <v>19</v>
      </c>
      <c r="J8" s="28">
        <v>0</v>
      </c>
      <c r="K8" s="24">
        <f t="shared" si="2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IF(ISOVERMAX(L9:U9),"INVALID MARK",IF(COUNT(L9:U9)=COUNT(L$6:U$6),IFERROR(H9*K$6,),IF(COUNT(L9:U9)&lt;COUNT(L$6:U$6),"MISSING MARK","INVALID ENTRY")))</f>
        <v>9</v>
      </c>
      <c r="J9" s="28">
        <v>0</v>
      </c>
      <c r="K9" s="24">
        <f t="shared" si="2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0.55000000000000004</v>
      </c>
      <c r="I10" s="20">
        <f>IF(ISOVERMAX(L10:U10),"INVALID MARK",IF(COUNT(L10:U10)=COUNT(L$6:U$6),IFERROR(H10*K$6,),IF(COUNT(L10:U10)&lt;COUNT(L$6:U$6),"MISSING MARK","INVALID ENTRY")))</f>
        <v>11</v>
      </c>
      <c r="J10" s="28">
        <v>0</v>
      </c>
      <c r="K10" s="24">
        <f t="shared" si="2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0.95</v>
      </c>
      <c r="I11" s="20">
        <f>IF(ISOVERMAX(L11:U11),"INVALID MARK",IF(COUNT(L11:U11)=COUNT(L$6:U$6),IFERROR(H11*K$6,),IF(COUNT(L11:U11)&lt;COUNT(L$6:U$6),"MISSING MARK","INVALID ENTRY")))</f>
        <v>19</v>
      </c>
      <c r="J11" s="28">
        <v>0</v>
      </c>
      <c r="K11" s="24">
        <f t="shared" ref="K11:K15" si="6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0.55000000000000004</v>
      </c>
      <c r="I12" s="20">
        <f>IF(ISOVERMAX(L12:U12),"INVALID MARK",IF(COUNT(L12:U12)=COUNT(L$6:U$6),IFERROR(H12*K$6,),IF(COUNT(L12:U12)&lt;COUNT(L$6:U$6),"MISSING MARK","INVALID ENTRY")))</f>
        <v>11</v>
      </c>
      <c r="J12" s="28">
        <v>0</v>
      </c>
      <c r="K12" s="24">
        <f t="shared" si="6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0.6</v>
      </c>
      <c r="I13" s="20">
        <f>IF(ISOVERMAX(L13:U13),"INVALID MARK",IF(COUNT(L13:U13)=COUNT(L$6:U$6),IFERROR(H13*K$6,),IF(COUNT(L13:U13)&lt;COUNT(L$6:U$6),"MISSING MARK","INVALID ENTRY")))</f>
        <v>12</v>
      </c>
      <c r="J13" s="28">
        <v>0</v>
      </c>
      <c r="K13" s="24">
        <f t="shared" si="6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0.65</v>
      </c>
      <c r="I14" s="20">
        <f>IF(ISOVERMAX(L14:U14),"INVALID MARK",IF(COUNT(L14:U14)=COUNT(L$6:U$6),IFERROR(H14*K$6,),IF(COUNT(L14:U14)&lt;COUNT(L$6:U$6),"MISSING MARK","INVALID ENTRY")))</f>
        <v>13</v>
      </c>
      <c r="J14" s="28">
        <v>0</v>
      </c>
      <c r="K14" s="24">
        <f t="shared" si="6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0.65</v>
      </c>
      <c r="I15" s="20" t="str">
        <f>IF(ISOVERMAX(L15:U15),"INVALID MARK",IF(COUNT(L15:U15)=COUNT(L$6:U$6),IFERROR(H15*K$6,),IF(COUNT(L15:U15)&lt;COUNT(L$6:U$6),"MISSING MARK","INVALID ENTRY")))</f>
        <v>MISSING MARK</v>
      </c>
      <c r="J15" s="28">
        <v>0</v>
      </c>
      <c r="K15" s="24">
        <f t="shared" si="6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0.625</v>
      </c>
      <c r="I16" s="20">
        <f>IF(ISOVERMAX(L16:U16),"INVALID MARK",IF(COUNT(L16:U16)=COUNT(L$6:U$6),IFERROR(H16*K$6,),IF(COUNT(L16:U16)&lt;COUNT(L$6:U$6),"MISSING MARK","INVALID ENTRY")))</f>
        <v>12.5</v>
      </c>
      <c r="J16" s="28">
        <v>0</v>
      </c>
      <c r="K16" s="24">
        <f t="shared" ref="K16" si="9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1.05</v>
      </c>
      <c r="I17" s="20" t="str">
        <f>IF(ISOVERMAX(L17:U17),"INVALID MARK",IF(COUNT(L17:U17)=COUNT(L$6:U$6),IFERROR(H17*K$6,),IF(COUNT(L17:U17)&lt;COUNT(L$6:U$6),"MISSING MARK","INVALID ENTRY")))</f>
        <v>INVALID MARK</v>
      </c>
      <c r="J17" s="28">
        <v>0</v>
      </c>
      <c r="K17" s="24">
        <f t="shared" ref="K17" si="12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</sheetData>
  <mergeCells count="1">
    <mergeCell ref="F4:G4"/>
  </mergeCells>
  <conditionalFormatting sqref="I7:I17">
    <cfRule type="containsText" dxfId="390" priority="158" operator="containsText" text="INVALID MARK">
      <formula>NOT(ISERROR(SEARCH("INVALID MARK",I7)))</formula>
    </cfRule>
    <cfRule type="containsText" dxfId="389" priority="159" operator="containsText" text="INVALID ENTRY">
      <formula>NOT(ISERROR(SEARCH("INVALID ENTRY",I7)))</formula>
    </cfRule>
    <cfRule type="containsText" dxfId="388" priority="160" operator="containsText" text="MISSING MARK">
      <formula>NOT(ISERROR(SEARCH("MISSING MARK",I7)))</formula>
    </cfRule>
  </conditionalFormatting>
  <conditionalFormatting sqref="D7">
    <cfRule type="containsText" dxfId="387" priority="156" operator="containsText" text="FAIL">
      <formula>NOT(ISERROR(SEARCH("FAIL",D7)))</formula>
    </cfRule>
    <cfRule type="containsText" dxfId="386" priority="157" operator="containsText" text="PASS">
      <formula>NOT(ISERROR(SEARCH("PASS",D7)))</formula>
    </cfRule>
  </conditionalFormatting>
  <conditionalFormatting sqref="D8:D10">
    <cfRule type="containsText" dxfId="385" priority="151" operator="containsText" text="FAIL">
      <formula>NOT(ISERROR(SEARCH("FAIL",D8)))</formula>
    </cfRule>
    <cfRule type="containsText" dxfId="384" priority="152" operator="containsText" text="PASS">
      <formula>NOT(ISERROR(SEARCH("PASS",D8)))</formula>
    </cfRule>
  </conditionalFormatting>
  <conditionalFormatting sqref="D11:D15">
    <cfRule type="containsText" dxfId="383" priority="146" operator="containsText" text="FAIL">
      <formula>NOT(ISERROR(SEARCH("FAIL",D11)))</formula>
    </cfRule>
    <cfRule type="containsText" dxfId="382" priority="147" operator="containsText" text="PASS">
      <formula>NOT(ISERROR(SEARCH("PASS",D11)))</formula>
    </cfRule>
  </conditionalFormatting>
  <conditionalFormatting sqref="D16">
    <cfRule type="containsText" dxfId="381" priority="141" operator="containsText" text="FAIL">
      <formula>NOT(ISERROR(SEARCH("FAIL",D16)))</formula>
    </cfRule>
    <cfRule type="containsText" dxfId="380" priority="142" operator="containsText" text="PASS">
      <formula>NOT(ISERROR(SEARCH("PASS",D16)))</formula>
    </cfRule>
  </conditionalFormatting>
  <conditionalFormatting sqref="D17">
    <cfRule type="containsText" dxfId="379" priority="121" operator="containsText" text="FAIL">
      <formula>NOT(ISERROR(SEARCH("FAIL",D17)))</formula>
    </cfRule>
    <cfRule type="containsText" dxfId="378" priority="12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319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2" t="s">
        <v>75</v>
      </c>
      <c r="G4" s="122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0.66</v>
      </c>
      <c r="I7" s="20">
        <f>IF(ISOVERMAX(L7:U7),"INVALID MARK",IF(COUNT(L7:U7)=COUNT(L$6:U$6),IFERROR(H7*K$6,),IF(COUNT(L7:U7)&lt;COUNT(L$6:U$6),"MISSING MARK","INVALID ENTRY")))</f>
        <v>33</v>
      </c>
      <c r="J7" s="28">
        <v>0</v>
      </c>
      <c r="K7" s="24">
        <f t="shared" ref="K7:K10" si="2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0.92</v>
      </c>
      <c r="I8" s="20">
        <f>IF(ISOVERMAX(L8:U8),"INVALID MARK",IF(COUNT(L8:U8)=COUNT(L$6:U$6),IFERROR(H8*K$6,),IF(COUNT(L8:U8)&lt;COUNT(L$6:U$6),"MISSING MARK","INVALID ENTRY")))</f>
        <v>46</v>
      </c>
      <c r="J8" s="28">
        <v>0</v>
      </c>
      <c r="K8" s="24">
        <f t="shared" si="2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0.32</v>
      </c>
      <c r="I9" s="20">
        <f>IF(ISOVERMAX(L9:U9),"INVALID MARK",IF(COUNT(L9:U9)=COUNT(L$6:U$6),IFERROR(H9*K$6,),IF(COUNT(L9:U9)&lt;COUNT(L$6:U$6),"MISSING MARK","INVALID ENTRY")))</f>
        <v>16</v>
      </c>
      <c r="J9" s="28">
        <v>0</v>
      </c>
      <c r="K9" s="24">
        <f t="shared" si="2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0.6</v>
      </c>
      <c r="I10" s="20">
        <f>IF(ISOVERMAX(L10:U10),"INVALID MARK",IF(COUNT(L10:U10)=COUNT(L$6:U$6),IFERROR(H10*K$6,),IF(COUNT(L10:U10)&lt;COUNT(L$6:U$6),"MISSING MARK","INVALID ENTRY")))</f>
        <v>30</v>
      </c>
      <c r="J10" s="28">
        <v>0</v>
      </c>
      <c r="K10" s="24">
        <f t="shared" si="2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0.7</v>
      </c>
      <c r="I11" s="20">
        <f>IF(ISOVERMAX(L11:U11),"INVALID MARK",IF(COUNT(L11:U11)=COUNT(L$6:U$6),IFERROR(H11*K$6,),IF(COUNT(L11:U11)&lt;COUNT(L$6:U$6),"MISSING MARK","INVALID ENTRY")))</f>
        <v>35</v>
      </c>
      <c r="J11" s="28">
        <v>0</v>
      </c>
      <c r="K11" s="24">
        <f t="shared" ref="K11:K15" si="6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0.34</v>
      </c>
      <c r="I12" s="20">
        <f>IF(ISOVERMAX(L12:U12),"INVALID MARK",IF(COUNT(L12:U12)=COUNT(L$6:U$6),IFERROR(H12*K$6,),IF(COUNT(L12:U12)&lt;COUNT(L$6:U$6),"MISSING MARK","INVALID ENTRY")))</f>
        <v>17</v>
      </c>
      <c r="J12" s="28">
        <v>0</v>
      </c>
      <c r="K12" s="24">
        <f t="shared" si="6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0.94</v>
      </c>
      <c r="I13" s="20">
        <f>IF(ISOVERMAX(L13:U13),"INVALID MARK",IF(COUNT(L13:U13)=COUNT(L$6:U$6),IFERROR(H13*K$6,),IF(COUNT(L13:U13)&lt;COUNT(L$6:U$6),"MISSING MARK","INVALID ENTRY")))</f>
        <v>47</v>
      </c>
      <c r="J13" s="28">
        <v>0</v>
      </c>
      <c r="K13" s="24">
        <f t="shared" si="6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0.62</v>
      </c>
      <c r="I14" s="20">
        <f>IF(ISOVERMAX(L14:U14),"INVALID MARK",IF(COUNT(L14:U14)=COUNT(L$6:U$6),IFERROR(H14*K$6,),IF(COUNT(L14:U14)&lt;COUNT(L$6:U$6),"MISSING MARK","INVALID ENTRY")))</f>
        <v>31</v>
      </c>
      <c r="J14" s="28">
        <v>0.1</v>
      </c>
      <c r="K14" s="24">
        <f t="shared" si="6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0.9</v>
      </c>
      <c r="I15" s="20">
        <f>IF(ISOVERMAX(L15:U15),"INVALID MARK",IF(COUNT(L15:U15)=COUNT(L$6:U$6),IFERROR(H15*K$6,),IF(COUNT(L15:U15)&lt;COUNT(L$6:U$6),"MISSING MARK","INVALID ENTRY")))</f>
        <v>45</v>
      </c>
      <c r="J15" s="28">
        <v>0</v>
      </c>
      <c r="K15" s="24">
        <f t="shared" si="6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0.72</v>
      </c>
      <c r="I16" s="20">
        <f>IF(ISOVERMAX(L16:U16),"INVALID MARK",IF(COUNT(L16:U16)=COUNT(L$6:U$6),IFERROR(H16*K$6,),IF(COUNT(L16:U16)&lt;COUNT(L$6:U$6),"MISSING MARK","INVALID ENTRY")))</f>
        <v>36</v>
      </c>
      <c r="J16" s="28">
        <v>0</v>
      </c>
      <c r="K16" s="24">
        <f t="shared" ref="K16" si="9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0.78</v>
      </c>
      <c r="I17" s="20">
        <f>IF(ISOVERMAX(L17:U17),"INVALID MARK",IF(COUNT(L17:U17)=COUNT(L$6:U$6),IFERROR(H17*K$6,),IF(COUNT(L17:U17)&lt;COUNT(L$6:U$6),"MISSING MARK","INVALID ENTRY")))</f>
        <v>39</v>
      </c>
      <c r="J17" s="28">
        <v>0</v>
      </c>
      <c r="K17" s="24">
        <f t="shared" ref="K17" si="12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</sheetData>
  <mergeCells count="1">
    <mergeCell ref="F4:G4"/>
  </mergeCells>
  <conditionalFormatting sqref="I7:I17">
    <cfRule type="containsText" dxfId="377" priority="158" operator="containsText" text="INVALID MARK">
      <formula>NOT(ISERROR(SEARCH("INVALID MARK",I7)))</formula>
    </cfRule>
    <cfRule type="containsText" dxfId="376" priority="159" operator="containsText" text="INVALID ENTRY">
      <formula>NOT(ISERROR(SEARCH("INVALID ENTRY",I7)))</formula>
    </cfRule>
    <cfRule type="containsText" dxfId="375" priority="160" operator="containsText" text="MISSING MARK">
      <formula>NOT(ISERROR(SEARCH("MISSING MARK",I7)))</formula>
    </cfRule>
  </conditionalFormatting>
  <conditionalFormatting sqref="D7">
    <cfRule type="containsText" dxfId="374" priority="156" operator="containsText" text="FAIL">
      <formula>NOT(ISERROR(SEARCH("FAIL",D7)))</formula>
    </cfRule>
    <cfRule type="containsText" dxfId="373" priority="157" operator="containsText" text="PASS">
      <formula>NOT(ISERROR(SEARCH("PASS",D7)))</formula>
    </cfRule>
  </conditionalFormatting>
  <conditionalFormatting sqref="D8:D10">
    <cfRule type="containsText" dxfId="372" priority="151" operator="containsText" text="FAIL">
      <formula>NOT(ISERROR(SEARCH("FAIL",D8)))</formula>
    </cfRule>
    <cfRule type="containsText" dxfId="371" priority="152" operator="containsText" text="PASS">
      <formula>NOT(ISERROR(SEARCH("PASS",D8)))</formula>
    </cfRule>
  </conditionalFormatting>
  <conditionalFormatting sqref="D11:D15">
    <cfRule type="containsText" dxfId="370" priority="146" operator="containsText" text="FAIL">
      <formula>NOT(ISERROR(SEARCH("FAIL",D11)))</formula>
    </cfRule>
    <cfRule type="containsText" dxfId="369" priority="147" operator="containsText" text="PASS">
      <formula>NOT(ISERROR(SEARCH("PASS",D11)))</formula>
    </cfRule>
  </conditionalFormatting>
  <conditionalFormatting sqref="D16">
    <cfRule type="containsText" dxfId="368" priority="141" operator="containsText" text="FAIL">
      <formula>NOT(ISERROR(SEARCH("FAIL",D16)))</formula>
    </cfRule>
    <cfRule type="containsText" dxfId="367" priority="142" operator="containsText" text="PASS">
      <formula>NOT(ISERROR(SEARCH("PASS",D16)))</formula>
    </cfRule>
  </conditionalFormatting>
  <conditionalFormatting sqref="D17">
    <cfRule type="containsText" dxfId="366" priority="121" operator="containsText" text="FAIL">
      <formula>NOT(ISERROR(SEARCH("FAIL",D17)))</formula>
    </cfRule>
    <cfRule type="containsText" dxfId="365" priority="12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workbookViewId="0"/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43</v>
      </c>
      <c r="G3" s="4">
        <f>'Final Marks'!D12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2"/>
      <c r="G4" s="122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'Final Marks'!$D$25</f>
        <v>Student Surname</v>
      </c>
      <c r="F5" s="64" t="str">
        <f>'Final Marks'!$E$25</f>
        <v>Student Name</v>
      </c>
      <c r="G5" s="64" t="str">
        <f>'Final Marks'!$F$25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55</v>
      </c>
      <c r="M5" s="87" t="s">
        <v>56</v>
      </c>
      <c r="N5" s="87" t="s">
        <v>57</v>
      </c>
      <c r="O5" s="87" t="s">
        <v>58</v>
      </c>
      <c r="P5" s="87" t="s">
        <v>59</v>
      </c>
      <c r="Q5" s="87" t="s">
        <v>60</v>
      </c>
      <c r="R5" s="87" t="s">
        <v>61</v>
      </c>
      <c r="S5" s="87" t="s">
        <v>62</v>
      </c>
      <c r="T5" s="87" t="s">
        <v>63</v>
      </c>
      <c r="U5" s="87" t="s">
        <v>64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 t="shared" ref="K6" si="0">SUM(L6:O6)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1" si="1">IF(K7/K$6-J7&gt;=0, K7/K$6-J7, 0)</f>
        <v>0.72499999999999998</v>
      </c>
      <c r="I7" s="20">
        <f>IF(ISOVERMAX(L7:U7),"INVALID MARK", IF(COUNT(L7:U7)=COUNT(L$6:U$6), IFERROR(H7*K$6,), IF(COUNT(L7:U7)&lt;COUNT(L$6:U$6),"MISSING MARK","INVALID ENTRY")))</f>
        <v>72.5</v>
      </c>
      <c r="J7" s="28">
        <v>0</v>
      </c>
      <c r="K7" s="24">
        <f t="shared" ref="K7" si="2">SUM(L7:O7)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0.87</v>
      </c>
      <c r="I8" s="20">
        <f>IF(ISOVERMAX(L8:U8),"INVALID MARK", IF(COUNT(L8:U8)=COUNT(L$6:U$6), IFERROR(H8*K$6,), IF(COUNT(L8:U8)&lt;COUNT(L$6:U$6),"MISSING MARK","INVALID ENTRY")))</f>
        <v>87</v>
      </c>
      <c r="J8" s="28">
        <v>0</v>
      </c>
      <c r="K8" s="24">
        <f t="shared" ref="K8:K10" si="4">SUM(L8:O8)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3"/>
        <v>FAIL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IF(ISOVERMAX(L9:U9),"INVALID MARK", IF(COUNT(L9:U9)=COUNT(L$6:U$6), IFERROR(H9*K$6,), IF(COUNT(L9:U9)&lt;COUNT(L$6:U$6),"MISSING MARK","INVALID ENTRY")))</f>
        <v>45</v>
      </c>
      <c r="J9" s="28">
        <v>0</v>
      </c>
      <c r="K9" s="24">
        <f t="shared" si="4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0.53</v>
      </c>
      <c r="I10" s="20">
        <f>IF(ISOVERMAX(L10:U10),"INVALID MARK", IF(COUNT(L10:U10)=COUNT(L$6:U$6), IFERROR(H10*K$6,), IF(COUNT(L10:U10)&lt;COUNT(L$6:U$6),"MISSING MARK","INVALID ENTRY")))</f>
        <v>53</v>
      </c>
      <c r="J10" s="28">
        <v>0</v>
      </c>
      <c r="K10" s="24">
        <f t="shared" si="4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5">IF(H11&gt;G$3, "PASS", "FAIL")</f>
        <v>FAIL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si="1"/>
        <v>0.41</v>
      </c>
      <c r="I11" s="20">
        <f>IF(ISOVERMAX(L11:U11),"INVALID MARK", IF(COUNT(L11:U11)=COUNT(L$6:U$6), IFERROR(H11*K$6,), IF(COUNT(L11:U11)&lt;COUNT(L$6:U$6),"MISSING MARK","INVALID ENTRY")))</f>
        <v>41</v>
      </c>
      <c r="J11" s="28">
        <v>0</v>
      </c>
      <c r="K11" s="24">
        <f t="shared" ref="K11:K15" si="6">SUM(L11:O11)</f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5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>IF(K12/K$6-J12&gt;=0, K12/K$6-J12, 0)</f>
        <v>0.65</v>
      </c>
      <c r="I12" s="20">
        <f>IF(ISOVERMAX(L12:U12),"INVALID MARK", IF(COUNT(L12:U12)=COUNT(L$6:U$6), IFERROR(H12*K$6,), IF(COUNT(L12:U12)&lt;COUNT(L$6:U$6),"MISSING MARK","INVALID ENTRY")))</f>
        <v>65</v>
      </c>
      <c r="J12" s="28">
        <v>0</v>
      </c>
      <c r="K12" s="24">
        <f t="shared" si="6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5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ref="H13:H16" si="7">IF(K13/K$6-J13&gt;=0, K13/K$6-J13, 0)</f>
        <v>0.57999999999999996</v>
      </c>
      <c r="I13" s="20">
        <f>IF(ISOVERMAX(L13:U13),"INVALID MARK", IF(COUNT(L13:U13)=COUNT(L$6:U$6), IFERROR(H13*K$6,), IF(COUNT(L13:U13)&lt;COUNT(L$6:U$6),"MISSING MARK","INVALID ENTRY")))</f>
        <v>57.999999999999993</v>
      </c>
      <c r="J13" s="28">
        <v>0</v>
      </c>
      <c r="K13" s="24">
        <f t="shared" si="6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5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7"/>
        <v>0.69</v>
      </c>
      <c r="I14" s="20">
        <f>IF(ISOVERMAX(L14:U14),"INVALID MARK", IF(COUNT(L14:U14)=COUNT(L$6:U$6), IFERROR(H14*K$6,), IF(COUNT(L14:U14)&lt;COUNT(L$6:U$6),"MISSING MARK","INVALID ENTRY")))</f>
        <v>69</v>
      </c>
      <c r="J14" s="28">
        <v>0</v>
      </c>
      <c r="K14" s="24">
        <f t="shared" si="6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5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7"/>
        <v>0.80500000000000005</v>
      </c>
      <c r="I15" s="20">
        <f>IF(ISOVERMAX(L15:U15),"INVALID MARK", IF(COUNT(L15:U15)=COUNT(L$6:U$6), IFERROR(H15*K$6,), IF(COUNT(L15:U15)&lt;COUNT(L$6:U$6),"MISSING MARK","INVALID ENTRY")))</f>
        <v>80.5</v>
      </c>
      <c r="J15" s="28">
        <v>0</v>
      </c>
      <c r="K15" s="24">
        <f t="shared" si="6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8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si="7"/>
        <v>0.77</v>
      </c>
      <c r="I16" s="20">
        <f>IF(ISOVERMAX(L16:U16),"INVALID MARK", IF(COUNT(L16:U16)=COUNT(L$6:U$6), IFERROR(H16*K$6,), IF(COUNT(L16:U16)&lt;COUNT(L$6:U$6),"MISSING MARK","INVALID ENTRY")))</f>
        <v>77</v>
      </c>
      <c r="J16" s="28">
        <v>0</v>
      </c>
      <c r="K16" s="24">
        <f t="shared" ref="K16" si="9">SUM(L16:O16)</f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0.69</v>
      </c>
      <c r="I17" s="20">
        <f>IF(ISOVERMAX(L17:U17),"INVALID MARK", IF(COUNT(L17:U17)=COUNT(L$6:U$6), IFERROR(H17*K$6,), IF(COUNT(L17:U17)&lt;COUNT(L$6:U$6),"MISSING MARK","INVALID ENTRY")))</f>
        <v>69</v>
      </c>
      <c r="J17" s="28">
        <v>0</v>
      </c>
      <c r="K17" s="24">
        <f t="shared" ref="K17" si="12">SUM(L17:O17)</f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364" priority="426" operator="containsText" text="INVALID MARK">
      <formula>NOT(ISERROR(SEARCH("INVALID MARK",I7)))</formula>
    </cfRule>
    <cfRule type="containsText" dxfId="363" priority="427" operator="containsText" text="INVALID ENTRY">
      <formula>NOT(ISERROR(SEARCH("INVALID ENTRY",I7)))</formula>
    </cfRule>
    <cfRule type="containsText" dxfId="362" priority="428" operator="containsText" text="MISSING MARK">
      <formula>NOT(ISERROR(SEARCH("MISSING MARK",I7)))</formula>
    </cfRule>
  </conditionalFormatting>
  <conditionalFormatting sqref="D7">
    <cfRule type="containsText" dxfId="361" priority="199" operator="containsText" text="FAIL">
      <formula>NOT(ISERROR(SEARCH("FAIL",D7)))</formula>
    </cfRule>
    <cfRule type="containsText" dxfId="360" priority="200" operator="containsText" text="PASS">
      <formula>NOT(ISERROR(SEARCH("PASS",D7)))</formula>
    </cfRule>
  </conditionalFormatting>
  <conditionalFormatting sqref="D8:D10">
    <cfRule type="containsText" dxfId="359" priority="181" operator="containsText" text="FAIL">
      <formula>NOT(ISERROR(SEARCH("FAIL",D8)))</formula>
    </cfRule>
    <cfRule type="containsText" dxfId="358" priority="182" operator="containsText" text="PASS">
      <formula>NOT(ISERROR(SEARCH("PASS",D8)))</formula>
    </cfRule>
  </conditionalFormatting>
  <conditionalFormatting sqref="H7:H16">
    <cfRule type="containsText" dxfId="357" priority="177" operator="containsText" text="INVALID MARK">
      <formula>NOT(ISERROR(SEARCH("INVALID MARK",H7)))</formula>
    </cfRule>
  </conditionalFormatting>
  <conditionalFormatting sqref="D11:D15">
    <cfRule type="containsText" dxfId="356" priority="175" operator="containsText" text="FAIL">
      <formula>NOT(ISERROR(SEARCH("FAIL",D11)))</formula>
    </cfRule>
    <cfRule type="containsText" dxfId="355" priority="176" operator="containsText" text="PASS">
      <formula>NOT(ISERROR(SEARCH("PASS",D11)))</formula>
    </cfRule>
  </conditionalFormatting>
  <conditionalFormatting sqref="D16">
    <cfRule type="containsText" dxfId="354" priority="169" operator="containsText" text="FAIL">
      <formula>NOT(ISERROR(SEARCH("FAIL",D16)))</formula>
    </cfRule>
    <cfRule type="containsText" dxfId="353" priority="170" operator="containsText" text="PASS">
      <formula>NOT(ISERROR(SEARCH("PASS",D16)))</formula>
    </cfRule>
  </conditionalFormatting>
  <conditionalFormatting sqref="H17">
    <cfRule type="containsText" dxfId="352" priority="150" operator="containsText" text="INVALID MARK">
      <formula>NOT(ISERROR(SEARCH("INVALID MARK",H17)))</formula>
    </cfRule>
  </conditionalFormatting>
  <conditionalFormatting sqref="D17">
    <cfRule type="containsText" dxfId="351" priority="145" operator="containsText" text="FAIL">
      <formula>NOT(ISERROR(SEARCH("FAIL",D17)))</formula>
    </cfRule>
    <cfRule type="containsText" dxfId="350" priority="146" operator="containsText" text="PASS">
      <formula>NOT(ISERROR(SEARCH("PASS",D17)))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Final Marks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2020-09-23T16:09:42Z</dcterms:modified>
</cp:coreProperties>
</file>