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ront page - Marks Overview" sheetId="1" r:id="rId1"/>
    <sheet name="Attendance sheet" sheetId="59" r:id="rId2"/>
    <sheet name="Test 1" sheetId="54" r:id="rId3"/>
    <sheet name="Test 2" sheetId="55" r:id="rId4"/>
    <sheet name="Oral Assignment 1" sheetId="56" r:id="rId5"/>
    <sheet name="Test 4" sheetId="58" r:id="rId6"/>
    <sheet name="Exam" sheetId="52" r:id="rId7"/>
  </sheets>
  <functionGroups builtInGroupCount="18"/>
  <definedNames>
    <definedName name="_xlnm._FilterDatabase" localSheetId="0" hidden="1">'Front page - Marks Overview'!$D$27:$N$27</definedName>
  </definedNames>
  <calcPr calcId="152511"/>
</workbook>
</file>

<file path=xl/calcChain.xml><?xml version="1.0" encoding="utf-8"?>
<calcChain xmlns="http://schemas.openxmlformats.org/spreadsheetml/2006/main">
  <c r="I17" i="56" l="1"/>
  <c r="I29" i="1"/>
  <c r="I30" i="1"/>
  <c r="I31" i="1"/>
  <c r="I32" i="1"/>
  <c r="I33" i="1"/>
  <c r="I35" i="1"/>
  <c r="I28" i="1"/>
  <c r="I37" i="1"/>
  <c r="I36" i="1"/>
  <c r="I34" i="1"/>
  <c r="I9" i="52"/>
  <c r="I10" i="52"/>
  <c r="I11" i="52"/>
  <c r="I12" i="52"/>
  <c r="I13" i="52"/>
  <c r="I14" i="52"/>
  <c r="I7" i="52"/>
  <c r="I8" i="52"/>
  <c r="I16" i="52"/>
  <c r="I15" i="52"/>
  <c r="I9" i="58"/>
  <c r="I10" i="58"/>
  <c r="I11" i="58"/>
  <c r="I13" i="58"/>
  <c r="I14" i="58"/>
  <c r="I7" i="58"/>
  <c r="I15" i="58"/>
  <c r="I8" i="58"/>
  <c r="I16" i="58"/>
  <c r="I12" i="58"/>
  <c r="I9" i="56"/>
  <c r="I10" i="56"/>
  <c r="I11" i="56"/>
  <c r="I12" i="56"/>
  <c r="I13" i="56"/>
  <c r="I14" i="56"/>
  <c r="I7" i="56"/>
  <c r="I8" i="56"/>
  <c r="I16" i="56"/>
  <c r="I15" i="56"/>
  <c r="I11" i="55"/>
  <c r="I13" i="55"/>
  <c r="I7" i="55"/>
  <c r="I15" i="55"/>
  <c r="I9" i="55"/>
  <c r="I12" i="55"/>
  <c r="I14" i="55"/>
  <c r="I16" i="55"/>
  <c r="I10" i="55"/>
  <c r="I8" i="55"/>
  <c r="I8" i="54"/>
  <c r="I16" i="54"/>
  <c r="I14" i="54"/>
  <c r="I9" i="54"/>
  <c r="I12" i="54"/>
  <c r="I13" i="54"/>
  <c r="I15" i="54"/>
  <c r="I10" i="54"/>
  <c r="I11" i="54"/>
  <c r="I7" i="54"/>
  <c r="I38" i="1"/>
  <c r="M6" i="1" l="1"/>
  <c r="M4" i="1"/>
  <c r="M5" i="1"/>
  <c r="M7" i="1"/>
  <c r="M12" i="1"/>
  <c r="M8" i="1"/>
  <c r="M9" i="1"/>
  <c r="M13" i="1"/>
  <c r="M10" i="1"/>
  <c r="M11" i="1"/>
  <c r="G3" i="52"/>
  <c r="K6" i="52" l="1"/>
  <c r="K8" i="52" l="1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Q25" i="1" l="1"/>
  <c r="H17" i="55"/>
  <c r="H14" i="58"/>
  <c r="H17" i="58"/>
  <c r="H15" i="56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D15" i="56" l="1"/>
  <c r="D17" i="56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N33" i="1" l="1"/>
  <c r="N29" i="1"/>
  <c r="N30" i="1"/>
  <c r="N32" i="1"/>
  <c r="N34" i="1"/>
  <c r="N31" i="1"/>
  <c r="D14" i="54"/>
  <c r="D16" i="54"/>
  <c r="D17" i="54"/>
  <c r="D7" i="54"/>
  <c r="D15" i="54"/>
  <c r="D13" i="54"/>
  <c r="D12" i="54"/>
  <c r="D11" i="54"/>
  <c r="D10" i="54"/>
  <c r="D8" i="54"/>
  <c r="D9" i="54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K28" i="1" l="1"/>
  <c r="K31" i="1"/>
  <c r="K33" i="1"/>
  <c r="K32" i="1"/>
  <c r="K29" i="1"/>
  <c r="K30" i="1"/>
  <c r="D11" i="52"/>
  <c r="D9" i="52"/>
  <c r="K34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M32" i="1" s="1"/>
  <c r="O33" i="1"/>
  <c r="O34" i="1"/>
  <c r="O30" i="1"/>
  <c r="O31" i="1"/>
  <c r="O28" i="1"/>
  <c r="N28" i="1"/>
  <c r="M34" i="1" l="1"/>
  <c r="M31" i="1"/>
  <c r="M33" i="1"/>
  <c r="M29" i="1"/>
  <c r="M28" i="1"/>
  <c r="M30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P36" i="1"/>
  <c r="P37" i="1"/>
  <c r="O37" i="1"/>
  <c r="Q37" i="1"/>
  <c r="P35" i="1"/>
  <c r="O35" i="1"/>
  <c r="Q35" i="1"/>
  <c r="N37" i="1"/>
  <c r="M37" i="1" s="1"/>
  <c r="L37" i="1" s="1"/>
  <c r="N35" i="1"/>
  <c r="M35" i="1" s="1"/>
  <c r="L35" i="1" s="1"/>
  <c r="I17" i="58"/>
  <c r="Q38" i="1"/>
  <c r="I17" i="55"/>
  <c r="O38" i="1"/>
  <c r="K37" i="1"/>
  <c r="J37" i="1" l="1"/>
  <c r="H37" i="1" s="1"/>
  <c r="G37" i="1"/>
  <c r="P38" i="1"/>
  <c r="I17" i="54"/>
  <c r="N38" i="1"/>
  <c r="M38" i="1"/>
  <c r="L38" i="1" s="1"/>
  <c r="I17" i="52"/>
  <c r="K38" i="1"/>
  <c r="J38" i="1" l="1"/>
  <c r="G38" i="1" s="1"/>
  <c r="Q36" i="1"/>
  <c r="H38" i="1" l="1"/>
  <c r="O36" i="1"/>
  <c r="N36" i="1"/>
  <c r="M36" i="1" s="1"/>
  <c r="L36" i="1" s="1"/>
  <c r="K36" i="1"/>
  <c r="J36" i="1" l="1"/>
  <c r="G36" i="1" s="1"/>
  <c r="K35" i="1"/>
  <c r="H36" i="1" l="1"/>
  <c r="J35" i="1"/>
  <c r="H35" i="1" s="1"/>
  <c r="M15" i="1" l="1"/>
  <c r="M14" i="1"/>
  <c r="M18" i="1"/>
  <c r="M19" i="1"/>
  <c r="M17" i="1"/>
  <c r="G35" i="1"/>
  <c r="M16" i="1" s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<sst xmlns="http://schemas.openxmlformats.org/spreadsheetml/2006/main" count="201" uniqueCount="105">
  <si>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</si>
  <si>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</si>
  <si>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</si>
  <si>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</si>
  <si>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</si>
  <si>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</si>
  <si>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</si>
  <si>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</si>
  <si>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</si>
  <si>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</si>
  <si>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</si>
  <si>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</si>
  <si>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</si>
  <si>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</si>
  <si>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</si>
  <si>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</si>
  <si>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</si>
  <si>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</si>
  <si>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</si>
  <si>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</si>
  <si>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</si>
  <si>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</si>
  <si>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</si>
  <si>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</si>
  <si>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</si>
  <si>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</si>
  <si>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</si>
  <si>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</si>
  <si>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</si>
  <si>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</si>
  <si>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</si>
  <si>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</si>
  <si>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</si>
  <si>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</si>
  <si>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</si>
  <si>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</si>
  <si>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</si>
  <si>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</si>
  <si>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</si>
  <si>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</si>
  <si>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</si>
  <si>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</si>
  <si>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</si>
  <si>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</si>
  <si>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</si>
  <si>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</si>
  <si>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</si>
  <si>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</si>
  <si>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</si>
  <si>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</si>
  <si>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</si>
  <si>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</si>
  <si>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</si>
  <si>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</si>
  <si>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</si>
  <si>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</si>
  <si>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</si>
  <si>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</si>
  <si>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</si>
  <si>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</si>
  <si>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</si>
  <si>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</si>
  <si>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</si>
  <si>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</si>
  <si>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</si>
  <si>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</si>
  <si>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</si>
  <si>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</si>
  <si>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</si>
  <si>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</si>
  <si>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</si>
  <si>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</si>
  <si>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</si>
  <si>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</si>
  <si>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</si>
  <si>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</si>
  <si>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</si>
  <si>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</si>
  <si>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</si>
  <si>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</si>
  <si>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</si>
  <si>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</si>
  <si>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</si>
  <si>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</si>
  <si>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</si>
  <si>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</si>
  <si>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</si>
  <si>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</si>
  <si>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</si>
  <si>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</si>
  <si>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</si>
  <si>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</si>
  <si>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</si>
  <si>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</si>
  <si>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</si>
  <si>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</si>
  <si>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</si>
  <si>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</si>
  <si>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</si>
  <si>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</si>
  <si>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</si>
  <si>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</si>
  <si>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</si>
  <si>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</si>
  <si>
    <t>To rename a test, right click on its tab at the bottom of the screen and click "Rename"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</si>
</sst>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 wrapText="1"/>
    </xf>
    <xf numFmtId="0" fontId="2" fillId="13" borderId="22" xfId="2" applyFont="1" applyFill="1" applyBorder="1" applyAlignment="1">
      <alignment horizontal="center" vertical="center" wrapText="1"/>
    </xf>
    <xf numFmtId="0" fontId="2" fillId="13" borderId="23" xfId="2" applyFont="1" applyFill="1" applyBorder="1" applyAlignment="1">
      <alignment horizontal="center" vertical="center" wrapText="1"/>
    </xf>
    <xf numFmtId="0" fontId="2" fillId="13" borderId="24" xfId="2" applyFont="1" applyFill="1" applyBorder="1" applyAlignment="1">
      <alignment horizontal="center" vertical="center" wrapText="1"/>
    </xf>
    <xf numFmtId="0" fontId="2" fillId="13" borderId="17" xfId="2" applyFont="1" applyFill="1" applyBorder="1" applyAlignment="1">
      <alignment horizontal="center" vertical="center" wrapText="1"/>
    </xf>
    <xf numFmtId="0" fontId="2" fillId="13" borderId="25" xfId="2" applyFont="1" applyFill="1" applyBorder="1" applyAlignment="1">
      <alignment horizontal="center" vertical="center" wrapText="1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4"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</dxfs>
  <tableStyles count="0" defaultTableStyle="TableStyleMedium2" defaultPivotStyle="PivotStyleMedium9"/>
  <colors>
    <mruColors>
      <color rgb="FFF4AF52"/>
      <color rgb="FFF49452"/>
      <color rgb="FFF46152"/>
      <color rgb="FFF3EB4B"/>
      <color rgb="FFDFEB4B"/>
      <color rgb="FFDFF34B"/>
      <color rgb="FFEBF34B"/>
      <color rgb="FFABF34B"/>
      <color rgb="FF8DF34B"/>
      <color rgb="FFF7D4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24765</xdr:colOff>
      <xdr:row>14</xdr:row>
      <xdr:rowOff>64489</xdr:rowOff>
    </xdr:from>
    <xdr:to>
      <xdr:col>8</xdr:col>
      <xdr:colOff>552449</xdr:colOff>
      <xdr:row>22</xdr:row>
      <xdr:rowOff>104775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9715" y="2817214"/>
          <a:ext cx="3251834" cy="1573811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abSelected="1" zoomScaleNormal="100" workbookViewId="0">
      <selection activeCell="K40" sqref="K40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9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2" t="s">
        <v>104</v>
      </c>
      <c r="G3" s="113"/>
      <c r="H3" s="113"/>
      <c r="I3" s="114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5"/>
      <c r="G4" s="116"/>
      <c r="H4" s="116"/>
      <c r="I4" s="117"/>
      <c r="J4" s="37"/>
      <c r="K4" s="53" t="s">
        <v>16</v>
      </c>
      <c r="L4" s="48" t="s">
        <v>103</v>
      </c>
      <c r="M4" s="59">
        <f t="shared" ref="M4:M13" si="0"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5"/>
      <c r="G5" s="116"/>
      <c r="H5" s="116"/>
      <c r="I5" s="117"/>
      <c r="J5" s="37"/>
      <c r="K5" s="54" t="s">
        <v>17</v>
      </c>
      <c r="L5" s="48" t="s">
        <v>31</v>
      </c>
      <c r="M5" s="59">
        <f t="shared" si="0"/>
        <v>0</v>
      </c>
    </row>
    <row r="6" spans="3:13" ht="15.75" thickBot="1" x14ac:dyDescent="0.3">
      <c r="C6" s="42" t="s">
        <v>12</v>
      </c>
      <c r="D6" s="67"/>
      <c r="F6" s="115"/>
      <c r="G6" s="116"/>
      <c r="H6" s="116"/>
      <c r="I6" s="117"/>
      <c r="J6" s="37"/>
      <c r="K6" s="55" t="s">
        <v>18</v>
      </c>
      <c r="L6" s="49" t="s">
        <v>33</v>
      </c>
      <c r="M6" s="59">
        <f t="shared" si="0"/>
        <v>2</v>
      </c>
    </row>
    <row r="7" spans="3:13" ht="15.75" thickBot="1" x14ac:dyDescent="0.3">
      <c r="C7" s="40" t="s">
        <v>51</v>
      </c>
      <c r="D7" s="90">
        <v>11</v>
      </c>
      <c r="F7" s="109" t="s">
        <v>65</v>
      </c>
      <c r="G7" s="110"/>
      <c r="H7" s="110"/>
      <c r="I7" s="111"/>
      <c r="J7" s="35"/>
      <c r="K7" s="55" t="s">
        <v>19</v>
      </c>
      <c r="L7" s="49" t="s">
        <v>50</v>
      </c>
      <c r="M7" s="59">
        <f t="shared" si="0"/>
        <v>2</v>
      </c>
    </row>
    <row r="8" spans="3:13" ht="15.75" thickBot="1" x14ac:dyDescent="0.3">
      <c r="C8" s="44" t="s">
        <v>52</v>
      </c>
      <c r="D8" s="91">
        <v>4</v>
      </c>
      <c r="F8" s="106" t="s">
        <v>66</v>
      </c>
      <c r="G8" s="107"/>
      <c r="H8" s="107"/>
      <c r="I8" s="108"/>
      <c r="J8" s="35"/>
      <c r="K8" s="55" t="s">
        <v>20</v>
      </c>
      <c r="L8" s="49" t="s">
        <v>37</v>
      </c>
      <c r="M8" s="59">
        <f t="shared" si="0"/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 t="shared" si="0"/>
        <v>3</v>
      </c>
    </row>
    <row r="10" spans="3:13" x14ac:dyDescent="0.25">
      <c r="C10" s="38" t="s">
        <v>48</v>
      </c>
      <c r="D10" s="39">
        <v>0.5</v>
      </c>
      <c r="F10" s="118" t="s">
        <v>67</v>
      </c>
      <c r="G10" s="119"/>
      <c r="H10" s="119"/>
      <c r="I10" s="120"/>
      <c r="J10" s="35"/>
      <c r="K10" s="56" t="s">
        <v>22</v>
      </c>
      <c r="L10" s="50" t="s">
        <v>32</v>
      </c>
      <c r="M10" s="59">
        <f t="shared" si="0"/>
        <v>0</v>
      </c>
    </row>
    <row r="11" spans="3:13" x14ac:dyDescent="0.25">
      <c r="C11" s="42" t="s">
        <v>46</v>
      </c>
      <c r="D11" s="43">
        <v>0.4</v>
      </c>
      <c r="F11" s="109" t="s">
        <v>68</v>
      </c>
      <c r="G11" s="110"/>
      <c r="H11" s="110"/>
      <c r="I11" s="111"/>
      <c r="J11" s="35"/>
      <c r="K11" s="56" t="s">
        <v>23</v>
      </c>
      <c r="L11" s="50" t="s">
        <v>35</v>
      </c>
      <c r="M11" s="59">
        <f t="shared" si="0"/>
        <v>1</v>
      </c>
    </row>
    <row r="12" spans="3:13" x14ac:dyDescent="0.25">
      <c r="C12" s="40" t="s">
        <v>43</v>
      </c>
      <c r="D12" s="41">
        <v>0.5</v>
      </c>
      <c r="F12" s="109" t="s">
        <v>70</v>
      </c>
      <c r="G12" s="110"/>
      <c r="H12" s="110"/>
      <c r="I12" s="111"/>
      <c r="J12" s="35"/>
      <c r="K12" s="57" t="s">
        <v>30</v>
      </c>
      <c r="L12" s="51" t="s">
        <v>36</v>
      </c>
      <c r="M12" s="59">
        <f t="shared" si="0"/>
        <v>0</v>
      </c>
    </row>
    <row r="13" spans="3:13" ht="15.75" thickBot="1" x14ac:dyDescent="0.3">
      <c r="C13" s="44" t="s">
        <v>47</v>
      </c>
      <c r="D13" s="45">
        <v>0.4</v>
      </c>
      <c r="F13" s="106" t="s">
        <v>69</v>
      </c>
      <c r="G13" s="107"/>
      <c r="H13" s="107"/>
      <c r="I13" s="108"/>
      <c r="J13" s="35"/>
      <c r="K13" s="58" t="s">
        <v>29</v>
      </c>
      <c r="L13" s="52" t="s">
        <v>38</v>
      </c>
      <c r="M13" s="59">
        <f t="shared" si="0"/>
        <v>1</v>
      </c>
    </row>
    <row r="14" spans="3:13" x14ac:dyDescent="0.25">
      <c r="J14" s="35"/>
      <c r="K14" s="121" t="s">
        <v>28</v>
      </c>
      <c r="L14" s="122"/>
      <c r="M14" s="60">
        <f>COUNTIF(H28:H38, "=FAIL")</f>
        <v>3</v>
      </c>
    </row>
    <row r="15" spans="3:13" x14ac:dyDescent="0.25">
      <c r="J15" s="35"/>
      <c r="K15" s="123" t="s">
        <v>27</v>
      </c>
      <c r="L15" s="124"/>
      <c r="M15" s="59">
        <f>COUNTIF(H28:H38, "=PASS")</f>
        <v>8</v>
      </c>
    </row>
    <row r="16" spans="3:13" x14ac:dyDescent="0.25">
      <c r="J16" s="35"/>
      <c r="K16" s="123" t="s">
        <v>39</v>
      </c>
      <c r="L16" s="124"/>
      <c r="M16" s="59">
        <f>COUNTIF(G28:G38, "=WRITE SUPP")</f>
        <v>2</v>
      </c>
    </row>
    <row r="17" spans="1:18" x14ac:dyDescent="0.25">
      <c r="J17" s="35"/>
      <c r="K17" s="123" t="s">
        <v>40</v>
      </c>
      <c r="L17" s="124"/>
      <c r="M17" s="61">
        <f>MAX(J28:J38)-MIN(J28:J38)</f>
        <v>0.48981818181818176</v>
      </c>
    </row>
    <row r="18" spans="1:18" x14ac:dyDescent="0.25">
      <c r="J18" s="35"/>
      <c r="K18" s="123" t="s">
        <v>41</v>
      </c>
      <c r="L18" s="124"/>
      <c r="M18" s="61">
        <f>AVERAGE(J28:J38)</f>
        <v>0.6249421487603305</v>
      </c>
    </row>
    <row r="19" spans="1:18" ht="15.75" thickBot="1" x14ac:dyDescent="0.3">
      <c r="J19" s="35"/>
      <c r="K19" s="104" t="s">
        <v>42</v>
      </c>
      <c r="L19" s="105"/>
      <c r="M19" s="62">
        <f>STDEV(J28:J38)</f>
        <v>0.12975246154595738</v>
      </c>
    </row>
    <row r="24" spans="1:18" ht="15.75" thickBot="1" x14ac:dyDescent="0.3"/>
    <row r="25" spans="1:18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  <c r="R25">
        <v>1</v>
      </c>
    </row>
    <row r="26" spans="1:18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1">O27/$M$27</f>
        <v>0.27272727272727271</v>
      </c>
      <c r="P26" s="97">
        <f t="shared" si="1"/>
        <v>0.18181818181818182</v>
      </c>
      <c r="Q26" s="97">
        <f t="shared" si="1"/>
        <v>0.45454545454545453</v>
      </c>
      <c r="R26">
        <v>2</v>
      </c>
    </row>
    <row r="27" spans="1:18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  <c r="R27">
        <v>3</v>
      </c>
    </row>
    <row r="28" spans="1:18" x14ac:dyDescent="0.25">
      <c r="A28" s="102"/>
      <c r="C28" s="103"/>
      <c r="D28" s="73" t="s">
        <v>75</v>
      </c>
      <c r="E28" s="96" t="s">
        <v>88</v>
      </c>
      <c r="F28" s="88" t="s">
        <v>77</v>
      </c>
      <c r="G28" s="74" t="str">
        <f t="shared" ref="G28:G38" si="2">IF(AND(K28&gt;=D$13, J28&gt;=D$11), IF(OR(K28&lt;D$12, J28&lt;D$10), "WRITE SUPP", "NO SUPP"), "NO SUPP")</f>
        <v>NO SUPP</v>
      </c>
      <c r="H28" s="74" t="str">
        <f t="shared" ref="H28:H38" si="3">IF(K28&gt;=D$12, IF(J28&gt;=D$10, "PASS", "FAIL"), "FAIL")</f>
        <v>PASS</v>
      </c>
      <c r="I28" s="74" t="str">
        <f t="shared" ref="I28:I37" si="4">STUDENT_GRADE(J28,K$4:K$13,L$4:L$13)</f>
        <v>B</v>
      </c>
      <c r="J28" s="89">
        <f t="shared" ref="J28:J38" si="5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6">M28/M$27</f>
        <v>0.66818181818181821</v>
      </c>
      <c r="M28" s="74">
        <f>SUM(N28:Q28)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  <c r="R28">
        <v>4</v>
      </c>
    </row>
    <row r="29" spans="1:18" x14ac:dyDescent="0.25">
      <c r="A29" s="102"/>
      <c r="D29" s="73" t="s">
        <v>78</v>
      </c>
      <c r="E29" s="96" t="s">
        <v>76</v>
      </c>
      <c r="F29" s="88" t="s">
        <v>80</v>
      </c>
      <c r="G29" s="74" t="str">
        <f t="shared" si="2"/>
        <v>NO SUPP</v>
      </c>
      <c r="H29" s="74" t="str">
        <f t="shared" si="3"/>
        <v>PASS</v>
      </c>
      <c r="I29" s="74" t="str">
        <f t="shared" si="4"/>
        <v>A+</v>
      </c>
      <c r="J29" s="89">
        <f t="shared" si="5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6"/>
        <v>0.8954545454545455</v>
      </c>
      <c r="M29" s="74">
        <f>SUM(N29:Q29)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  <c r="R29">
        <v>5</v>
      </c>
    </row>
    <row r="30" spans="1:18" x14ac:dyDescent="0.25">
      <c r="A30" s="102"/>
      <c r="D30" s="101" t="s">
        <v>79</v>
      </c>
      <c r="E30" s="101" t="s">
        <v>83</v>
      </c>
      <c r="F30" s="88" t="s">
        <v>81</v>
      </c>
      <c r="G30" s="74" t="str">
        <f t="shared" si="2"/>
        <v>NO SUPP</v>
      </c>
      <c r="H30" s="74" t="str">
        <f t="shared" si="3"/>
        <v>FAIL</v>
      </c>
      <c r="I30" s="74" t="str">
        <f t="shared" si="4"/>
        <v>F</v>
      </c>
      <c r="J30" s="89">
        <f t="shared" si="5"/>
        <v>0.39545454545454545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6"/>
        <v>0.35909090909090907</v>
      </c>
      <c r="M30" s="74">
        <f>SUM(N30:Q30)</f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  <c r="R30">
        <v>6</v>
      </c>
    </row>
    <row r="31" spans="1:18" x14ac:dyDescent="0.25">
      <c r="A31" s="102"/>
      <c r="D31" s="73" t="s">
        <v>84</v>
      </c>
      <c r="E31" s="73" t="s">
        <v>85</v>
      </c>
      <c r="F31" s="88" t="s">
        <v>82</v>
      </c>
      <c r="G31" s="74" t="str">
        <f t="shared" si="2"/>
        <v>NO SUPP</v>
      </c>
      <c r="H31" s="74" t="str">
        <f t="shared" si="3"/>
        <v>PASS</v>
      </c>
      <c r="I31" s="74" t="str">
        <f t="shared" si="4"/>
        <v>C+</v>
      </c>
      <c r="J31" s="89">
        <f t="shared" si="5"/>
        <v>0.55563636363636371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6"/>
        <v>0.57272727272727275</v>
      </c>
      <c r="M31" s="74">
        <f>SUM(N31:Q31)</f>
        <v>63</v>
      </c>
      <c r="N31" s="75">
        <f>'Test 1'!I10</f>
        <v>5</v>
      </c>
      <c r="O31" s="75">
        <f>'Test 2'!I10</f>
        <v>17</v>
      </c>
      <c r="P31" s="75">
        <f>'Oral Assignment 1'!I10</f>
        <v>11</v>
      </c>
      <c r="Q31" s="75">
        <f>'Test 4'!I10</f>
        <v>30</v>
      </c>
      <c r="R31">
        <v>7</v>
      </c>
    </row>
    <row r="32" spans="1:18" x14ac:dyDescent="0.25">
      <c r="A32" s="102"/>
      <c r="D32" s="73" t="s">
        <v>87</v>
      </c>
      <c r="E32" s="73" t="s">
        <v>86</v>
      </c>
      <c r="F32" s="88" t="s">
        <v>89</v>
      </c>
      <c r="G32" s="74" t="str">
        <f t="shared" si="2"/>
        <v>WRITE SUPP</v>
      </c>
      <c r="H32" s="74" t="str">
        <f t="shared" si="3"/>
        <v>FAIL</v>
      </c>
      <c r="I32" s="74" t="str">
        <f t="shared" si="4"/>
        <v>C+</v>
      </c>
      <c r="J32" s="89">
        <f t="shared" si="5"/>
        <v>0.58945454545454545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6"/>
        <v>0.70909090909090911</v>
      </c>
      <c r="M32" s="74">
        <f>SUM(N32:Q32)</f>
        <v>78</v>
      </c>
      <c r="N32" s="75">
        <f>'Test 1'!I11</f>
        <v>6</v>
      </c>
      <c r="O32" s="75">
        <f>'Test 2'!I11</f>
        <v>18</v>
      </c>
      <c r="P32" s="75">
        <f>'Oral Assignment 1'!I11</f>
        <v>19</v>
      </c>
      <c r="Q32" s="75">
        <f>'Test 4'!I11</f>
        <v>35</v>
      </c>
      <c r="R32">
        <v>8</v>
      </c>
    </row>
    <row r="33" spans="1:18" x14ac:dyDescent="0.25">
      <c r="A33" s="102"/>
      <c r="D33" s="73" t="s">
        <v>91</v>
      </c>
      <c r="E33" s="73" t="s">
        <v>90</v>
      </c>
      <c r="F33" s="88" t="s">
        <v>92</v>
      </c>
      <c r="G33" s="74" t="str">
        <f t="shared" si="2"/>
        <v>WRITE SUPP</v>
      </c>
      <c r="H33" s="74" t="str">
        <f t="shared" si="3"/>
        <v>FAIL</v>
      </c>
      <c r="I33" s="74" t="str">
        <f t="shared" si="4"/>
        <v>C-</v>
      </c>
      <c r="J33" s="89">
        <f t="shared" si="5"/>
        <v>0.49181818181818182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6"/>
        <v>0.38636363636363635</v>
      </c>
      <c r="M33" s="74">
        <f>SUM(N33:Q33)</f>
        <v>42.5</v>
      </c>
      <c r="N33" s="75">
        <f>'Test 1'!I12</f>
        <v>3.5000000000000004</v>
      </c>
      <c r="O33" s="75">
        <f>'Test 2'!I12</f>
        <v>11</v>
      </c>
      <c r="P33" s="75">
        <f>'Oral Assignment 1'!I12</f>
        <v>11</v>
      </c>
      <c r="Q33" s="75">
        <f>'Test 4'!I12</f>
        <v>17</v>
      </c>
      <c r="R33">
        <v>9</v>
      </c>
    </row>
    <row r="34" spans="1:18" x14ac:dyDescent="0.25">
      <c r="A34" s="102"/>
      <c r="D34" s="73" t="s">
        <v>94</v>
      </c>
      <c r="E34" s="73" t="s">
        <v>93</v>
      </c>
      <c r="F34" s="88" t="s">
        <v>96</v>
      </c>
      <c r="G34" s="74" t="str">
        <f t="shared" si="2"/>
        <v>NO SUPP</v>
      </c>
      <c r="H34" s="74" t="str">
        <f t="shared" si="3"/>
        <v>PASS</v>
      </c>
      <c r="I34" s="74" t="str">
        <f t="shared" si="4"/>
        <v>C+</v>
      </c>
      <c r="J34" s="89">
        <f t="shared" si="5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6"/>
        <v>0.59090909090909094</v>
      </c>
      <c r="M34" s="74">
        <f>SUM(N34:Q34)</f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  <c r="R34">
        <v>4</v>
      </c>
    </row>
    <row r="35" spans="1:18" x14ac:dyDescent="0.25">
      <c r="A35" s="102"/>
      <c r="D35" s="73" t="s">
        <v>94</v>
      </c>
      <c r="E35" s="73" t="s">
        <v>98</v>
      </c>
      <c r="F35" s="88" t="s">
        <v>97</v>
      </c>
      <c r="G35" s="74" t="str">
        <f t="shared" si="2"/>
        <v>NO SUPP</v>
      </c>
      <c r="H35" s="74" t="str">
        <f t="shared" si="3"/>
        <v>PASS</v>
      </c>
      <c r="I35" s="74" t="str">
        <f t="shared" si="4"/>
        <v>B-</v>
      </c>
      <c r="J35" s="89">
        <f t="shared" si="5"/>
        <v>0.61690909090909085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6"/>
        <v>0.56818181818181823</v>
      </c>
      <c r="M35" s="74">
        <f>SUM(N35:Q35)</f>
        <v>62.5</v>
      </c>
      <c r="N35" s="75" t="str">
        <f>'Test 1'!I14</f>
        <v>INVALID MARK</v>
      </c>
      <c r="O35" s="75">
        <f>'Test 2'!I14</f>
        <v>18.5</v>
      </c>
      <c r="P35" s="75">
        <f>'Oral Assignment 1'!I14</f>
        <v>13</v>
      </c>
      <c r="Q35" s="75">
        <f>'Test 4'!I14</f>
        <v>31</v>
      </c>
      <c r="R35">
        <v>5</v>
      </c>
    </row>
    <row r="36" spans="1:18" x14ac:dyDescent="0.25">
      <c r="A36" s="102"/>
      <c r="D36" s="73" t="s">
        <v>94</v>
      </c>
      <c r="E36" s="73" t="s">
        <v>95</v>
      </c>
      <c r="F36" s="88" t="s">
        <v>99</v>
      </c>
      <c r="G36" s="74" t="str">
        <f t="shared" si="2"/>
        <v>NO SUPP</v>
      </c>
      <c r="H36" s="74" t="str">
        <f t="shared" si="3"/>
        <v>PASS</v>
      </c>
      <c r="I36" s="74" t="str">
        <f t="shared" si="4"/>
        <v>B</v>
      </c>
      <c r="J36" s="89">
        <f t="shared" si="5"/>
        <v>0.69290909090909092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6"/>
        <v>0.61818181818181817</v>
      </c>
      <c r="M36" s="74">
        <f>SUM(N36:Q36)</f>
        <v>68</v>
      </c>
      <c r="N36" s="75">
        <f>'Test 1'!I15</f>
        <v>9</v>
      </c>
      <c r="O36" s="75">
        <f>'Test 2'!I15</f>
        <v>14</v>
      </c>
      <c r="P36" s="75" t="str">
        <f>'Oral Assignment 1'!I15</f>
        <v>MISSING MARK</v>
      </c>
      <c r="Q36" s="75">
        <f>'Test 4'!I15</f>
        <v>45</v>
      </c>
      <c r="R36">
        <v>6</v>
      </c>
    </row>
    <row r="37" spans="1:18" x14ac:dyDescent="0.25">
      <c r="A37" s="102"/>
      <c r="D37" s="73" t="s">
        <v>2</v>
      </c>
      <c r="E37" s="73" t="s">
        <v>95</v>
      </c>
      <c r="F37" s="88"/>
      <c r="G37" s="74" t="str">
        <f t="shared" si="2"/>
        <v>NO SUPP</v>
      </c>
      <c r="H37" s="74" t="str">
        <f t="shared" si="3"/>
        <v>PASS</v>
      </c>
      <c r="I37" s="74" t="str">
        <f t="shared" si="4"/>
        <v>B+</v>
      </c>
      <c r="J37" s="89">
        <f t="shared" si="5"/>
        <v>0.74163636363636365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6"/>
        <v>0.72272727272727277</v>
      </c>
      <c r="M37" s="74">
        <f>SUM(N37:Q37)</f>
        <v>79.5</v>
      </c>
      <c r="N37" s="75">
        <f>'Test 1'!I16</f>
        <v>10</v>
      </c>
      <c r="O37" s="75">
        <f>'Test 2'!I16</f>
        <v>21</v>
      </c>
      <c r="P37" s="75">
        <f>'Oral Assignment 1'!I16</f>
        <v>12.5</v>
      </c>
      <c r="Q37" s="75">
        <f>'Test 4'!I16</f>
        <v>36</v>
      </c>
      <c r="R37">
        <v>1</v>
      </c>
    </row>
    <row r="38" spans="1:18" x14ac:dyDescent="0.25">
      <c r="A38" s="102"/>
      <c r="D38" s="73" t="s">
        <v>101</v>
      </c>
      <c r="E38" s="73" t="s">
        <v>100</v>
      </c>
      <c r="F38" s="88" t="s">
        <v>102</v>
      </c>
      <c r="G38" s="74" t="str">
        <f t="shared" si="2"/>
        <v>NO SUPP</v>
      </c>
      <c r="H38" s="74" t="str">
        <f t="shared" si="3"/>
        <v>PASS</v>
      </c>
      <c r="I38" s="74" t="str">
        <f>STUDENT_GRADE(J38,K$4:K$13,L$4:L$13)</f>
        <v>B+</v>
      </c>
      <c r="J38" s="89">
        <f t="shared" si="5"/>
        <v>0.62781818181818172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6"/>
        <v>0.58636363636363631</v>
      </c>
      <c r="M38" s="74">
        <f>SUM(N38:Q38)</f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  <c r="R38">
        <v>2</v>
      </c>
    </row>
  </sheetData>
  <dataConsolidate/>
  <mergeCells count="13">
    <mergeCell ref="K19:L19"/>
    <mergeCell ref="F8:I8"/>
    <mergeCell ref="F7:I7"/>
    <mergeCell ref="F3:I6"/>
    <mergeCell ref="F13:I13"/>
    <mergeCell ref="F12:I12"/>
    <mergeCell ref="F11:I11"/>
    <mergeCell ref="F10:I10"/>
    <mergeCell ref="K14:L14"/>
    <mergeCell ref="K15:L15"/>
    <mergeCell ref="K16:L16"/>
    <mergeCell ref="K17:L17"/>
    <mergeCell ref="K18:L18"/>
  </mergeCells>
  <conditionalFormatting sqref="G28">
    <cfRule type="containsText" dxfId="153" priority="8865" operator="containsText" text="WRITE SUPP">
      <formula>NOT(ISERROR(SEARCH("WRITE SUPP",G28)))</formula>
    </cfRule>
  </conditionalFormatting>
  <conditionalFormatting sqref="N28:N38">
    <cfRule type="containsText" dxfId="152" priority="8862" operator="containsText" text="INVALID MARK">
      <formula>NOT(ISERROR(SEARCH("INVALID MARK",N28)))</formula>
    </cfRule>
    <cfRule type="containsText" dxfId="151" priority="8863" operator="containsText" text="INVALID ENTRY">
      <formula>NOT(ISERROR(SEARCH("INVALID ENTRY",N28)))</formula>
    </cfRule>
    <cfRule type="containsText" dxfId="150" priority="8864" operator="containsText" text="MISSING MARK">
      <formula>NOT(ISERROR(SEARCH("MISSING MARK",N28)))</formula>
    </cfRule>
  </conditionalFormatting>
  <conditionalFormatting sqref="H28">
    <cfRule type="containsText" dxfId="149" priority="8860" operator="containsText" text="FAIL">
      <formula>NOT(ISERROR(SEARCH("FAIL",H28)))</formula>
    </cfRule>
  </conditionalFormatting>
  <conditionalFormatting sqref="G29:G31">
    <cfRule type="containsText" dxfId="148" priority="5424" operator="containsText" text="WRITE SUPP">
      <formula>NOT(ISERROR(SEARCH("WRITE SUPP",G29)))</formula>
    </cfRule>
  </conditionalFormatting>
  <conditionalFormatting sqref="H29:H31">
    <cfRule type="containsText" dxfId="147" priority="5419" operator="containsText" text="FAIL">
      <formula>NOT(ISERROR(SEARCH("FAIL",H29)))</formula>
    </cfRule>
  </conditionalFormatting>
  <conditionalFormatting sqref="O28">
    <cfRule type="containsText" dxfId="146" priority="5412" operator="containsText" text="INVALID MARK">
      <formula>NOT(ISERROR(SEARCH("INVALID MARK",O28)))</formula>
    </cfRule>
    <cfRule type="containsText" dxfId="145" priority="5413" operator="containsText" text="INVALID ENTRY">
      <formula>NOT(ISERROR(SEARCH("INVALID ENTRY",O28)))</formula>
    </cfRule>
    <cfRule type="containsText" dxfId="144" priority="5414" operator="containsText" text="MISSING MARK">
      <formula>NOT(ISERROR(SEARCH("MISSING MARK",O28)))</formula>
    </cfRule>
  </conditionalFormatting>
  <conditionalFormatting sqref="O29:O31">
    <cfRule type="containsText" dxfId="143" priority="5409" operator="containsText" text="INVALID MARK">
      <formula>NOT(ISERROR(SEARCH("INVALID MARK",O29)))</formula>
    </cfRule>
    <cfRule type="containsText" dxfId="142" priority="5410" operator="containsText" text="INVALID ENTRY">
      <formula>NOT(ISERROR(SEARCH("INVALID ENTRY",O29)))</formula>
    </cfRule>
    <cfRule type="containsText" dxfId="141" priority="5411" operator="containsText" text="MISSING MARK">
      <formula>NOT(ISERROR(SEARCH("MISSING MARK",O29)))</formula>
    </cfRule>
  </conditionalFormatting>
  <conditionalFormatting sqref="P28">
    <cfRule type="containsText" dxfId="140" priority="5406" operator="containsText" text="INVALID MARK">
      <formula>NOT(ISERROR(SEARCH("INVALID MARK",P28)))</formula>
    </cfRule>
    <cfRule type="containsText" dxfId="139" priority="5407" operator="containsText" text="INVALID ENTRY">
      <formula>NOT(ISERROR(SEARCH("INVALID ENTRY",P28)))</formula>
    </cfRule>
    <cfRule type="containsText" dxfId="138" priority="5408" operator="containsText" text="MISSING MARK">
      <formula>NOT(ISERROR(SEARCH("MISSING MARK",P28)))</formula>
    </cfRule>
  </conditionalFormatting>
  <conditionalFormatting sqref="P29:P31">
    <cfRule type="containsText" dxfId="137" priority="5403" operator="containsText" text="INVALID MARK">
      <formula>NOT(ISERROR(SEARCH("INVALID MARK",P29)))</formula>
    </cfRule>
    <cfRule type="containsText" dxfId="136" priority="5404" operator="containsText" text="INVALID ENTRY">
      <formula>NOT(ISERROR(SEARCH("INVALID ENTRY",P29)))</formula>
    </cfRule>
    <cfRule type="containsText" dxfId="135" priority="5405" operator="containsText" text="MISSING MARK">
      <formula>NOT(ISERROR(SEARCH("MISSING MARK",P29)))</formula>
    </cfRule>
  </conditionalFormatting>
  <conditionalFormatting sqref="Q28">
    <cfRule type="containsText" dxfId="134" priority="5394" operator="containsText" text="INVALID MARK">
      <formula>NOT(ISERROR(SEARCH("INVALID MARK",Q28)))</formula>
    </cfRule>
    <cfRule type="containsText" dxfId="133" priority="5395" operator="containsText" text="INVALID ENTRY">
      <formula>NOT(ISERROR(SEARCH("INVALID ENTRY",Q28)))</formula>
    </cfRule>
    <cfRule type="containsText" dxfId="132" priority="5396" operator="containsText" text="MISSING MARK">
      <formula>NOT(ISERROR(SEARCH("MISSING MARK",Q28)))</formula>
    </cfRule>
  </conditionalFormatting>
  <conditionalFormatting sqref="Q29:Q31">
    <cfRule type="containsText" dxfId="131" priority="5391" operator="containsText" text="INVALID MARK">
      <formula>NOT(ISERROR(SEARCH("INVALID MARK",Q29)))</formula>
    </cfRule>
    <cfRule type="containsText" dxfId="130" priority="5392" operator="containsText" text="INVALID ENTRY">
      <formula>NOT(ISERROR(SEARCH("INVALID ENTRY",Q29)))</formula>
    </cfRule>
    <cfRule type="containsText" dxfId="129" priority="5393" operator="containsText" text="MISSING MARK">
      <formula>NOT(ISERROR(SEARCH("MISSING MARK",Q29)))</formula>
    </cfRule>
  </conditionalFormatting>
  <conditionalFormatting sqref="G32:G36">
    <cfRule type="containsText" dxfId="128" priority="5385" operator="containsText" text="WRITE SUPP">
      <formula>NOT(ISERROR(SEARCH("WRITE SUPP",G32)))</formula>
    </cfRule>
  </conditionalFormatting>
  <conditionalFormatting sqref="H32:H36">
    <cfRule type="containsText" dxfId="127" priority="5380" operator="containsText" text="FAIL">
      <formula>NOT(ISERROR(SEARCH("FAIL",H32)))</formula>
    </cfRule>
  </conditionalFormatting>
  <conditionalFormatting sqref="O32:O36">
    <cfRule type="containsText" dxfId="126" priority="5373" operator="containsText" text="INVALID MARK">
      <formula>NOT(ISERROR(SEARCH("INVALID MARK",O32)))</formula>
    </cfRule>
    <cfRule type="containsText" dxfId="125" priority="5374" operator="containsText" text="INVALID ENTRY">
      <formula>NOT(ISERROR(SEARCH("INVALID ENTRY",O32)))</formula>
    </cfRule>
    <cfRule type="containsText" dxfId="124" priority="5375" operator="containsText" text="MISSING MARK">
      <formula>NOT(ISERROR(SEARCH("MISSING MARK",O32)))</formula>
    </cfRule>
  </conditionalFormatting>
  <conditionalFormatting sqref="P32:P36">
    <cfRule type="containsText" dxfId="123" priority="5370" operator="containsText" text="INVALID MARK">
      <formula>NOT(ISERROR(SEARCH("INVALID MARK",P32)))</formula>
    </cfRule>
    <cfRule type="containsText" dxfId="122" priority="5371" operator="containsText" text="INVALID ENTRY">
      <formula>NOT(ISERROR(SEARCH("INVALID ENTRY",P32)))</formula>
    </cfRule>
    <cfRule type="containsText" dxfId="121" priority="5372" operator="containsText" text="MISSING MARK">
      <formula>NOT(ISERROR(SEARCH("MISSING MARK",P32)))</formula>
    </cfRule>
  </conditionalFormatting>
  <conditionalFormatting sqref="Q32:Q36">
    <cfRule type="containsText" dxfId="120" priority="5367" operator="containsText" text="INVALID MARK">
      <formula>NOT(ISERROR(SEARCH("INVALID MARK",Q32)))</formula>
    </cfRule>
    <cfRule type="containsText" dxfId="119" priority="5368" operator="containsText" text="INVALID ENTRY">
      <formula>NOT(ISERROR(SEARCH("INVALID ENTRY",Q32)))</formula>
    </cfRule>
    <cfRule type="containsText" dxfId="118" priority="5369" operator="containsText" text="MISSING MARK">
      <formula>NOT(ISERROR(SEARCH("MISSING MARK",Q32)))</formula>
    </cfRule>
  </conditionalFormatting>
  <conditionalFormatting sqref="G37">
    <cfRule type="containsText" dxfId="117" priority="5352" operator="containsText" text="WRITE SUPP">
      <formula>NOT(ISERROR(SEARCH("WRITE SUPP",G37)))</formula>
    </cfRule>
  </conditionalFormatting>
  <conditionalFormatting sqref="H37">
    <cfRule type="containsText" dxfId="116" priority="5347" operator="containsText" text="FAIL">
      <formula>NOT(ISERROR(SEARCH("FAIL",H37)))</formula>
    </cfRule>
  </conditionalFormatting>
  <conditionalFormatting sqref="O37">
    <cfRule type="containsText" dxfId="115" priority="5340" operator="containsText" text="INVALID MARK">
      <formula>NOT(ISERROR(SEARCH("INVALID MARK",O37)))</formula>
    </cfRule>
    <cfRule type="containsText" dxfId="114" priority="5341" operator="containsText" text="INVALID ENTRY">
      <formula>NOT(ISERROR(SEARCH("INVALID ENTRY",O37)))</formula>
    </cfRule>
    <cfRule type="containsText" dxfId="113" priority="5342" operator="containsText" text="MISSING MARK">
      <formula>NOT(ISERROR(SEARCH("MISSING MARK",O37)))</formula>
    </cfRule>
  </conditionalFormatting>
  <conditionalFormatting sqref="P37">
    <cfRule type="containsText" dxfId="112" priority="5337" operator="containsText" text="INVALID MARK">
      <formula>NOT(ISERROR(SEARCH("INVALID MARK",P37)))</formula>
    </cfRule>
    <cfRule type="containsText" dxfId="111" priority="5338" operator="containsText" text="INVALID ENTRY">
      <formula>NOT(ISERROR(SEARCH("INVALID ENTRY",P37)))</formula>
    </cfRule>
    <cfRule type="containsText" dxfId="110" priority="5339" operator="containsText" text="MISSING MARK">
      <formula>NOT(ISERROR(SEARCH("MISSING MARK",P37)))</formula>
    </cfRule>
  </conditionalFormatting>
  <conditionalFormatting sqref="Q37">
    <cfRule type="containsText" dxfId="109" priority="5334" operator="containsText" text="INVALID MARK">
      <formula>NOT(ISERROR(SEARCH("INVALID MARK",Q37)))</formula>
    </cfRule>
    <cfRule type="containsText" dxfId="108" priority="5335" operator="containsText" text="INVALID ENTRY">
      <formula>NOT(ISERROR(SEARCH("INVALID ENTRY",Q37)))</formula>
    </cfRule>
    <cfRule type="containsText" dxfId="107" priority="5336" operator="containsText" text="MISSING MARK">
      <formula>NOT(ISERROR(SEARCH("MISSING MARK",Q37)))</formula>
    </cfRule>
  </conditionalFormatting>
  <conditionalFormatting sqref="G38">
    <cfRule type="containsText" dxfId="106" priority="5252" operator="containsText" text="WRITE SUPP">
      <formula>NOT(ISERROR(SEARCH("WRITE SUPP",G38)))</formula>
    </cfRule>
  </conditionalFormatting>
  <conditionalFormatting sqref="H38">
    <cfRule type="containsText" dxfId="105" priority="5248" operator="containsText" text="FAIL">
      <formula>NOT(ISERROR(SEARCH("FAIL",H38)))</formula>
    </cfRule>
  </conditionalFormatting>
  <conditionalFormatting sqref="O38">
    <cfRule type="containsText" dxfId="104" priority="5241" operator="containsText" text="INVALID MARK">
      <formula>NOT(ISERROR(SEARCH("INVALID MARK",O38)))</formula>
    </cfRule>
    <cfRule type="containsText" dxfId="103" priority="5242" operator="containsText" text="INVALID ENTRY">
      <formula>NOT(ISERROR(SEARCH("INVALID ENTRY",O38)))</formula>
    </cfRule>
    <cfRule type="containsText" dxfId="102" priority="5243" operator="containsText" text="MISSING MARK">
      <formula>NOT(ISERROR(SEARCH("MISSING MARK",O38)))</formula>
    </cfRule>
  </conditionalFormatting>
  <conditionalFormatting sqref="P38">
    <cfRule type="containsText" dxfId="101" priority="5238" operator="containsText" text="INVALID MARK">
      <formula>NOT(ISERROR(SEARCH("INVALID MARK",P38)))</formula>
    </cfRule>
    <cfRule type="containsText" dxfId="100" priority="5239" operator="containsText" text="INVALID ENTRY">
      <formula>NOT(ISERROR(SEARCH("INVALID ENTRY",P38)))</formula>
    </cfRule>
    <cfRule type="containsText" dxfId="99" priority="5240" operator="containsText" text="MISSING MARK">
      <formula>NOT(ISERROR(SEARCH("MISSING MARK",P38)))</formula>
    </cfRule>
  </conditionalFormatting>
  <conditionalFormatting sqref="Q38">
    <cfRule type="containsText" dxfId="98" priority="5235" operator="containsText" text="INVALID MARK">
      <formula>NOT(ISERROR(SEARCH("INVALID MARK",Q38)))</formula>
    </cfRule>
    <cfRule type="containsText" dxfId="97" priority="5236" operator="containsText" text="INVALID ENTRY">
      <formula>NOT(ISERROR(SEARCH("INVALID ENTRY",Q38)))</formula>
    </cfRule>
    <cfRule type="containsText" dxfId="96" priority="5237" operator="containsText" text="MISSING MARK">
      <formula>NOT(ISERROR(SEARCH("MISSING MARK",Q38)))</formula>
    </cfRule>
  </conditionalFormatting>
  <conditionalFormatting sqref="K28:K38">
    <cfRule type="containsText" dxfId="95" priority="4103" operator="containsText" text="INVALID ENTRY">
      <formula>NOT(ISERROR(SEARCH("INVALID ENTRY",K28)))</formula>
    </cfRule>
  </conditionalFormatting>
  <conditionalFormatting sqref="I28:I38">
    <cfRule type="cellIs" dxfId="94" priority="8881" operator="equal">
      <formula>$L$11</formula>
    </cfRule>
    <cfRule type="cellIs" dxfId="93" priority="8882" operator="equal">
      <formula>$L$9</formula>
    </cfRule>
    <cfRule type="cellIs" dxfId="92" priority="8883" operator="equal">
      <formula>$L$8</formula>
    </cfRule>
    <cfRule type="cellIs" dxfId="91" priority="8884" operator="equal">
      <formula>$L$6</formula>
    </cfRule>
    <cfRule type="cellIs" dxfId="90" priority="8885" operator="equal">
      <formula>$L$5</formula>
    </cfRule>
    <cfRule type="cellIs" dxfId="89" priority="8886" operator="equal">
      <formula>$L$4</formula>
    </cfRule>
  </conditionalFormatting>
  <conditionalFormatting sqref="I28:I38">
    <cfRule type="cellIs" dxfId="88" priority="8887" operator="equal">
      <formula>$L$13</formula>
    </cfRule>
    <cfRule type="cellIs" dxfId="87" priority="8888" operator="equal">
      <formula>$L$12</formula>
    </cfRule>
    <cfRule type="cellIs" dxfId="86" priority="8889" operator="equal">
      <formula>$L$10</formula>
    </cfRule>
    <cfRule type="cellIs" dxfId="85" priority="8890" operator="equal">
      <formula>$L$7</formula>
    </cfRule>
  </conditionalFormatting>
  <conditionalFormatting sqref="K28:K38">
    <cfRule type="containsText" dxfId="84" priority="8897" operator="containsText" text="MISSING MARK">
      <formula>NOT(ISERROR(SEARCH("MISSING MARK",K28)))</formula>
    </cfRule>
    <cfRule type="containsText" dxfId="83" priority="8898" operator="containsText" text="INVALID MARK">
      <formula>NOT(ISERROR(SEARCH("INVALID MARK",K28)))</formula>
    </cfRule>
    <cfRule type="cellIs" dxfId="82" priority="8899" operator="lessThan">
      <formula>$D$12</formula>
    </cfRule>
    <cfRule type="cellIs" priority="8900" operator="greaterThanOrEqual">
      <formula>$D$12</formula>
    </cfRule>
    <cfRule type="expression" dxfId="81" priority="8901">
      <formula>"&gt;=$D$10"</formula>
    </cfRule>
  </conditionalFormatting>
  <conditionalFormatting sqref="J28:J38">
    <cfRule type="cellIs" dxfId="80" priority="8902" operator="lessThan">
      <formula>$D$10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35 F36 F38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I7" sqref="I7:I1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73</v>
      </c>
      <c r="G3" s="4">
        <v>0</v>
      </c>
    </row>
    <row r="4" spans="3:126" ht="123.75" customHeight="1" thickBot="1" x14ac:dyDescent="0.3">
      <c r="C4" s="21"/>
      <c r="F4" s="125" t="s">
        <v>74</v>
      </c>
      <c r="G4" s="125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" si="1">IF(K7/K$6-J7&gt;=0, K7/K$6-J7, 0)</f>
        <v>0.4</v>
      </c>
      <c r="I7" s="20">
        <f t="shared" ref="I7:I17" si="2">ERROR_CHECK_MARK(L7:U7,L$6:U$6,H7,K$6)</f>
        <v>4</v>
      </c>
      <c r="J7" s="28">
        <v>0</v>
      </c>
      <c r="K7" s="24">
        <f t="shared" ref="K7" si="3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ref="H8:H10" si="5">IF(K8/K$6-J8&gt;=0, K8/K$6-J8, 0)</f>
        <v>0.8</v>
      </c>
      <c r="I8" s="20">
        <f t="shared" si="2"/>
        <v>8</v>
      </c>
      <c r="J8" s="28">
        <v>0</v>
      </c>
      <c r="K8" s="24">
        <f t="shared" ref="K8:K10" si="6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5"/>
        <v>0.4</v>
      </c>
      <c r="I9" s="20">
        <f t="shared" si="2"/>
        <v>4</v>
      </c>
      <c r="J9" s="28">
        <v>0</v>
      </c>
      <c r="K9" s="24">
        <f t="shared" si="6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5"/>
        <v>0.5</v>
      </c>
      <c r="I10" s="20">
        <f t="shared" si="2"/>
        <v>5</v>
      </c>
      <c r="J10" s="28">
        <v>0</v>
      </c>
      <c r="K10" s="24">
        <f t="shared" si="6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7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8">IF(K11/K$6-J11&gt;=0, K11/K$6-J11, 0)</f>
        <v>0.6</v>
      </c>
      <c r="I11" s="20">
        <f t="shared" si="2"/>
        <v>6</v>
      </c>
      <c r="J11" s="28">
        <v>0</v>
      </c>
      <c r="K11" s="24">
        <f t="shared" ref="K11:K15" si="9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7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8"/>
        <v>0.35000000000000003</v>
      </c>
      <c r="I12" s="20">
        <f t="shared" si="2"/>
        <v>3.5000000000000004</v>
      </c>
      <c r="J12" s="28">
        <v>0.05</v>
      </c>
      <c r="K12" s="24">
        <f t="shared" si="9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7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8"/>
        <v>0.6</v>
      </c>
      <c r="I13" s="20">
        <f t="shared" si="2"/>
        <v>6</v>
      </c>
      <c r="J13" s="28">
        <v>0</v>
      </c>
      <c r="K13" s="24">
        <f t="shared" si="9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7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8"/>
        <v>5.6</v>
      </c>
      <c r="I14" s="20" t="str">
        <f t="shared" si="2"/>
        <v>INVALID MARK</v>
      </c>
      <c r="J14" s="28">
        <v>0</v>
      </c>
      <c r="K14" s="24">
        <f t="shared" si="9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7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8"/>
        <v>0.9</v>
      </c>
      <c r="I15" s="20">
        <f t="shared" si="2"/>
        <v>9</v>
      </c>
      <c r="J15" s="28">
        <v>0</v>
      </c>
      <c r="K15" s="24">
        <f t="shared" si="9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10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11">IF(K16/K$6-J16&gt;=0, K16/K$6-J16, 0)</f>
        <v>1</v>
      </c>
      <c r="I16" s="20">
        <f t="shared" si="2"/>
        <v>10</v>
      </c>
      <c r="J16" s="28">
        <v>0</v>
      </c>
      <c r="K16" s="24">
        <f t="shared" ref="K16" si="12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3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4">IF(K17/K$6-J17&gt;=0, K17/K$6-J17, 0)</f>
        <v>0.7</v>
      </c>
      <c r="I17" s="20">
        <f t="shared" si="2"/>
        <v>7</v>
      </c>
      <c r="J17" s="28">
        <v>0</v>
      </c>
      <c r="K17" s="24">
        <f t="shared" ref="K17" si="15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79" priority="661" operator="containsText" text="INVALID MARK">
      <formula>NOT(ISERROR(SEARCH("INVALID MARK",I7)))</formula>
    </cfRule>
    <cfRule type="containsText" dxfId="78" priority="662" operator="containsText" text="INVALID ENTRY">
      <formula>NOT(ISERROR(SEARCH("INVALID ENTRY",I7)))</formula>
    </cfRule>
    <cfRule type="containsText" dxfId="77" priority="663" operator="containsText" text="MISSING MARK">
      <formula>NOT(ISERROR(SEARCH("MISSING MARK",I7)))</formula>
    </cfRule>
  </conditionalFormatting>
  <conditionalFormatting sqref="D7">
    <cfRule type="containsText" dxfId="76" priority="491" operator="containsText" text="FAIL">
      <formula>NOT(ISERROR(SEARCH("FAIL",D7)))</formula>
    </cfRule>
    <cfRule type="containsText" dxfId="75" priority="492" operator="containsText" text="PASS">
      <formula>NOT(ISERROR(SEARCH("PASS",D7)))</formula>
    </cfRule>
  </conditionalFormatting>
  <conditionalFormatting sqref="D8:D10">
    <cfRule type="containsText" dxfId="74" priority="476" operator="containsText" text="FAIL">
      <formula>NOT(ISERROR(SEARCH("FAIL",D8)))</formula>
    </cfRule>
    <cfRule type="containsText" dxfId="73" priority="477" operator="containsText" text="PASS">
      <formula>NOT(ISERROR(SEARCH("PASS",D8)))</formula>
    </cfRule>
  </conditionalFormatting>
  <conditionalFormatting sqref="D11:D15">
    <cfRule type="containsText" dxfId="72" priority="471" operator="containsText" text="FAIL">
      <formula>NOT(ISERROR(SEARCH("FAIL",D11)))</formula>
    </cfRule>
    <cfRule type="containsText" dxfId="71" priority="472" operator="containsText" text="PASS">
      <formula>NOT(ISERROR(SEARCH("PASS",D11)))</formula>
    </cfRule>
  </conditionalFormatting>
  <conditionalFormatting sqref="D16">
    <cfRule type="containsText" dxfId="70" priority="466" operator="containsText" text="FAIL">
      <formula>NOT(ISERROR(SEARCH("FAIL",D16)))</formula>
    </cfRule>
    <cfRule type="containsText" dxfId="69" priority="467" operator="containsText" text="PASS">
      <formula>NOT(ISERROR(SEARCH("PASS",D16)))</formula>
    </cfRule>
  </conditionalFormatting>
  <conditionalFormatting sqref="D17">
    <cfRule type="containsText" dxfId="68" priority="446" operator="containsText" text="FAIL">
      <formula>NOT(ISERROR(SEARCH("FAIL",D17)))</formula>
    </cfRule>
    <cfRule type="containsText" dxfId="67" priority="447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7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74</v>
      </c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0.68333333333333335</v>
      </c>
      <c r="I7" s="20">
        <f t="shared" ref="I7:I17" si="2">ERROR_CHECK_MARK(L7:U7,L$6:U$6,H7,K$6)</f>
        <v>20.5</v>
      </c>
      <c r="J7" s="28">
        <v>0</v>
      </c>
      <c r="K7" s="24">
        <f t="shared" ref="K7:K10" si="3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0.85</v>
      </c>
      <c r="I8" s="20">
        <f t="shared" si="2"/>
        <v>25.5</v>
      </c>
      <c r="J8" s="28">
        <v>0</v>
      </c>
      <c r="K8" s="24">
        <f t="shared" si="3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0.35000000000000003</v>
      </c>
      <c r="I9" s="20">
        <f t="shared" si="2"/>
        <v>10.500000000000002</v>
      </c>
      <c r="J9" s="28">
        <v>0.05</v>
      </c>
      <c r="K9" s="24">
        <f t="shared" si="3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0.56666666666666665</v>
      </c>
      <c r="I10" s="20">
        <f t="shared" si="2"/>
        <v>17</v>
      </c>
      <c r="J10" s="28">
        <v>0</v>
      </c>
      <c r="K10" s="24">
        <f t="shared" si="3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0.6</v>
      </c>
      <c r="I11" s="20">
        <f t="shared" si="2"/>
        <v>18</v>
      </c>
      <c r="J11" s="28">
        <v>0</v>
      </c>
      <c r="K11" s="24">
        <f t="shared" ref="K11:K15" si="7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0.36666666666666664</v>
      </c>
      <c r="I12" s="20">
        <f t="shared" si="2"/>
        <v>11</v>
      </c>
      <c r="J12" s="28">
        <v>0</v>
      </c>
      <c r="K12" s="24">
        <f t="shared" si="7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0.41666666666666669</v>
      </c>
      <c r="I13" s="20" t="str">
        <f t="shared" si="2"/>
        <v>INVALID ENTRY</v>
      </c>
      <c r="J13" s="28">
        <v>0</v>
      </c>
      <c r="K13" s="24">
        <f t="shared" si="7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0.6166666666666667</v>
      </c>
      <c r="I14" s="20">
        <f t="shared" si="2"/>
        <v>18.5</v>
      </c>
      <c r="J14" s="28">
        <v>0</v>
      </c>
      <c r="K14" s="24">
        <f t="shared" si="7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0.46666666666666667</v>
      </c>
      <c r="I15" s="20">
        <f t="shared" si="2"/>
        <v>14</v>
      </c>
      <c r="J15" s="28">
        <v>0</v>
      </c>
      <c r="K15" s="24">
        <f t="shared" si="7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</v>
      </c>
      <c r="I16" s="20">
        <f t="shared" si="2"/>
        <v>21</v>
      </c>
      <c r="J16" s="28">
        <v>0</v>
      </c>
      <c r="K16" s="24">
        <f t="shared" ref="K16" si="10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0.61666666666666659</v>
      </c>
      <c r="I17" s="20">
        <f t="shared" si="2"/>
        <v>18.499999999999996</v>
      </c>
      <c r="J17" s="28">
        <v>0.05</v>
      </c>
      <c r="K17" s="24">
        <f t="shared" ref="K17" si="13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66" priority="483" operator="containsText" text="INVALID MARK">
      <formula>NOT(ISERROR(SEARCH("INVALID MARK",I7)))</formula>
    </cfRule>
    <cfRule type="containsText" dxfId="65" priority="484" operator="containsText" text="INVALID ENTRY">
      <formula>NOT(ISERROR(SEARCH("INVALID ENTRY",I7)))</formula>
    </cfRule>
    <cfRule type="containsText" dxfId="64" priority="485" operator="containsText" text="MISSING MARK">
      <formula>NOT(ISERROR(SEARCH("MISSING MARK",I7)))</formula>
    </cfRule>
  </conditionalFormatting>
  <conditionalFormatting sqref="D7">
    <cfRule type="containsText" dxfId="63" priority="481" operator="containsText" text="FAIL">
      <formula>NOT(ISERROR(SEARCH("FAIL",D7)))</formula>
    </cfRule>
    <cfRule type="containsText" dxfId="62" priority="482" operator="containsText" text="PASS">
      <formula>NOT(ISERROR(SEARCH("PASS",D7)))</formula>
    </cfRule>
  </conditionalFormatting>
  <conditionalFormatting sqref="D8:D10">
    <cfRule type="containsText" dxfId="61" priority="476" operator="containsText" text="FAIL">
      <formula>NOT(ISERROR(SEARCH("FAIL",D8)))</formula>
    </cfRule>
    <cfRule type="containsText" dxfId="60" priority="477" operator="containsText" text="PASS">
      <formula>NOT(ISERROR(SEARCH("PASS",D8)))</formula>
    </cfRule>
  </conditionalFormatting>
  <conditionalFormatting sqref="D11:D15">
    <cfRule type="containsText" dxfId="59" priority="471" operator="containsText" text="FAIL">
      <formula>NOT(ISERROR(SEARCH("FAIL",D11)))</formula>
    </cfRule>
    <cfRule type="containsText" dxfId="58" priority="472" operator="containsText" text="PASS">
      <formula>NOT(ISERROR(SEARCH("PASS",D11)))</formula>
    </cfRule>
  </conditionalFormatting>
  <conditionalFormatting sqref="D16">
    <cfRule type="containsText" dxfId="57" priority="466" operator="containsText" text="FAIL">
      <formula>NOT(ISERROR(SEARCH("FAIL",D16)))</formula>
    </cfRule>
    <cfRule type="containsText" dxfId="56" priority="467" operator="containsText" text="PASS">
      <formula>NOT(ISERROR(SEARCH("PASS",D16)))</formula>
    </cfRule>
  </conditionalFormatting>
  <conditionalFormatting sqref="D17">
    <cfRule type="containsText" dxfId="55" priority="446" operator="containsText" text="FAIL">
      <formula>NOT(ISERROR(SEARCH("FAIL",D17)))</formula>
    </cfRule>
    <cfRule type="containsText" dxfId="54" priority="44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7"/>
  <sheetViews>
    <sheetView topLeftCell="A4" workbookViewId="0">
      <selection activeCell="J22" sqref="J22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74</v>
      </c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0.8</v>
      </c>
      <c r="I7" s="20">
        <f t="shared" ref="I7:I17" si="2">ERROR_CHECK_MARK(L7:U7,L$6:U$6,H7,K$6)</f>
        <v>16</v>
      </c>
      <c r="J7" s="28">
        <v>0</v>
      </c>
      <c r="K7" s="24">
        <f t="shared" ref="K7:K10" si="3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0.95</v>
      </c>
      <c r="I8" s="20">
        <f t="shared" si="2"/>
        <v>19</v>
      </c>
      <c r="J8" s="28">
        <v>0</v>
      </c>
      <c r="K8" s="24">
        <f t="shared" si="3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 t="shared" si="2"/>
        <v>9</v>
      </c>
      <c r="J9" s="28">
        <v>0</v>
      </c>
      <c r="K9" s="24">
        <f t="shared" si="3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0.55000000000000004</v>
      </c>
      <c r="I10" s="20">
        <f t="shared" si="2"/>
        <v>11</v>
      </c>
      <c r="J10" s="28">
        <v>0</v>
      </c>
      <c r="K10" s="24">
        <f t="shared" si="3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0.95</v>
      </c>
      <c r="I11" s="20">
        <f t="shared" si="2"/>
        <v>19</v>
      </c>
      <c r="J11" s="28">
        <v>0</v>
      </c>
      <c r="K11" s="24">
        <f t="shared" ref="K11:K15" si="7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0.55000000000000004</v>
      </c>
      <c r="I12" s="20">
        <f t="shared" si="2"/>
        <v>11</v>
      </c>
      <c r="J12" s="28">
        <v>0</v>
      </c>
      <c r="K12" s="24">
        <f t="shared" si="7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0.6</v>
      </c>
      <c r="I13" s="20">
        <f t="shared" si="2"/>
        <v>12</v>
      </c>
      <c r="J13" s="28">
        <v>0</v>
      </c>
      <c r="K13" s="24">
        <f t="shared" si="7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0.65</v>
      </c>
      <c r="I14" s="20">
        <f t="shared" si="2"/>
        <v>13</v>
      </c>
      <c r="J14" s="28">
        <v>0</v>
      </c>
      <c r="K14" s="24">
        <f t="shared" si="7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0.65</v>
      </c>
      <c r="I15" s="20" t="str">
        <f t="shared" si="2"/>
        <v>MISSING MARK</v>
      </c>
      <c r="J15" s="28">
        <v>0</v>
      </c>
      <c r="K15" s="24">
        <f t="shared" si="7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0.625</v>
      </c>
      <c r="I16" s="20">
        <f t="shared" si="2"/>
        <v>12.5</v>
      </c>
      <c r="J16" s="28">
        <v>0</v>
      </c>
      <c r="K16" s="24">
        <f t="shared" ref="K16" si="10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1.05</v>
      </c>
      <c r="I17" s="20" t="str">
        <f t="shared" si="2"/>
        <v>INVALID MARK</v>
      </c>
      <c r="J17" s="28">
        <v>0</v>
      </c>
      <c r="K17" s="24">
        <f t="shared" ref="K17" si="13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dataConsolidate/>
  <mergeCells count="1">
    <mergeCell ref="F4:G4"/>
  </mergeCells>
  <conditionalFormatting sqref="I7:I17">
    <cfRule type="containsText" dxfId="53" priority="483" operator="containsText" text="INVALID MARK">
      <formula>NOT(ISERROR(SEARCH("INVALID MARK",I7)))</formula>
    </cfRule>
    <cfRule type="containsText" dxfId="52" priority="484" operator="containsText" text="INVALID ENTRY">
      <formula>NOT(ISERROR(SEARCH("INVALID ENTRY",I7)))</formula>
    </cfRule>
    <cfRule type="containsText" dxfId="51" priority="485" operator="containsText" text="MISSING MARK">
      <formula>NOT(ISERROR(SEARCH("MISSING MARK",I7)))</formula>
    </cfRule>
  </conditionalFormatting>
  <conditionalFormatting sqref="D7">
    <cfRule type="containsText" dxfId="50" priority="481" operator="containsText" text="FAIL">
      <formula>NOT(ISERROR(SEARCH("FAIL",D7)))</formula>
    </cfRule>
    <cfRule type="containsText" dxfId="49" priority="482" operator="containsText" text="PASS">
      <formula>NOT(ISERROR(SEARCH("PASS",D7)))</formula>
    </cfRule>
  </conditionalFormatting>
  <conditionalFormatting sqref="D8:D10">
    <cfRule type="containsText" dxfId="48" priority="476" operator="containsText" text="FAIL">
      <formula>NOT(ISERROR(SEARCH("FAIL",D8)))</formula>
    </cfRule>
    <cfRule type="containsText" dxfId="47" priority="477" operator="containsText" text="PASS">
      <formula>NOT(ISERROR(SEARCH("PASS",D8)))</formula>
    </cfRule>
  </conditionalFormatting>
  <conditionalFormatting sqref="D11:D15">
    <cfRule type="containsText" dxfId="46" priority="471" operator="containsText" text="FAIL">
      <formula>NOT(ISERROR(SEARCH("FAIL",D11)))</formula>
    </cfRule>
    <cfRule type="containsText" dxfId="45" priority="472" operator="containsText" text="PASS">
      <formula>NOT(ISERROR(SEARCH("PASS",D11)))</formula>
    </cfRule>
  </conditionalFormatting>
  <conditionalFormatting sqref="D16">
    <cfRule type="containsText" dxfId="44" priority="466" operator="containsText" text="FAIL">
      <formula>NOT(ISERROR(SEARCH("FAIL",D16)))</formula>
    </cfRule>
    <cfRule type="containsText" dxfId="43" priority="467" operator="containsText" text="PASS">
      <formula>NOT(ISERROR(SEARCH("PASS",D16)))</formula>
    </cfRule>
  </conditionalFormatting>
  <conditionalFormatting sqref="D17">
    <cfRule type="containsText" dxfId="42" priority="446" operator="containsText" text="FAIL">
      <formula>NOT(ISERROR(SEARCH("FAIL",D17)))</formula>
    </cfRule>
    <cfRule type="containsText" dxfId="41" priority="447" operator="containsText" text="PASS">
      <formula>NOT(ISERROR(SEARCH("PASS",D17)))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17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74</v>
      </c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0.66</v>
      </c>
      <c r="I7" s="20">
        <f t="shared" ref="I7:I17" si="2">ERROR_CHECK_MARK(L7:U7,L$6:U$6,H7,K$6)</f>
        <v>33</v>
      </c>
      <c r="J7" s="28">
        <v>0</v>
      </c>
      <c r="K7" s="24">
        <f t="shared" ref="K7:K10" si="3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0.92</v>
      </c>
      <c r="I8" s="20">
        <f t="shared" si="2"/>
        <v>46</v>
      </c>
      <c r="J8" s="28">
        <v>0</v>
      </c>
      <c r="K8" s="24">
        <f t="shared" si="3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0.32</v>
      </c>
      <c r="I9" s="20">
        <f t="shared" si="2"/>
        <v>16</v>
      </c>
      <c r="J9" s="28">
        <v>0</v>
      </c>
      <c r="K9" s="24">
        <f t="shared" si="3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0.6</v>
      </c>
      <c r="I10" s="20">
        <f t="shared" si="2"/>
        <v>30</v>
      </c>
      <c r="J10" s="28">
        <v>0</v>
      </c>
      <c r="K10" s="24">
        <f t="shared" si="3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0.7</v>
      </c>
      <c r="I11" s="20">
        <f t="shared" si="2"/>
        <v>35</v>
      </c>
      <c r="J11" s="28">
        <v>0</v>
      </c>
      <c r="K11" s="24">
        <f t="shared" ref="K11:K15" si="7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0.34</v>
      </c>
      <c r="I12" s="20">
        <f t="shared" si="2"/>
        <v>17</v>
      </c>
      <c r="J12" s="28">
        <v>0</v>
      </c>
      <c r="K12" s="24">
        <f t="shared" si="7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0.94</v>
      </c>
      <c r="I13" s="20">
        <f t="shared" si="2"/>
        <v>47</v>
      </c>
      <c r="J13" s="28">
        <v>0</v>
      </c>
      <c r="K13" s="24">
        <f t="shared" si="7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0.62</v>
      </c>
      <c r="I14" s="20">
        <f t="shared" si="2"/>
        <v>31</v>
      </c>
      <c r="J14" s="28">
        <v>0.1</v>
      </c>
      <c r="K14" s="24">
        <f t="shared" si="7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0.9</v>
      </c>
      <c r="I15" s="20">
        <f t="shared" si="2"/>
        <v>45</v>
      </c>
      <c r="J15" s="28">
        <v>0</v>
      </c>
      <c r="K15" s="24">
        <f t="shared" si="7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0.72</v>
      </c>
      <c r="I16" s="20">
        <f t="shared" si="2"/>
        <v>36</v>
      </c>
      <c r="J16" s="28">
        <v>0</v>
      </c>
      <c r="K16" s="24">
        <f t="shared" ref="K16" si="10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0.78</v>
      </c>
      <c r="I17" s="20">
        <f t="shared" si="2"/>
        <v>39</v>
      </c>
      <c r="J17" s="28">
        <v>0</v>
      </c>
      <c r="K17" s="24">
        <f t="shared" ref="K17" si="13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40" priority="483" operator="containsText" text="INVALID MARK">
      <formula>NOT(ISERROR(SEARCH("INVALID MARK",I7)))</formula>
    </cfRule>
    <cfRule type="containsText" dxfId="39" priority="484" operator="containsText" text="INVALID ENTRY">
      <formula>NOT(ISERROR(SEARCH("INVALID ENTRY",I7)))</formula>
    </cfRule>
    <cfRule type="containsText" dxfId="38" priority="485" operator="containsText" text="MISSING MARK">
      <formula>NOT(ISERROR(SEARCH("MISSING MARK",I7)))</formula>
    </cfRule>
  </conditionalFormatting>
  <conditionalFormatting sqref="D7">
    <cfRule type="containsText" dxfId="37" priority="481" operator="containsText" text="FAIL">
      <formula>NOT(ISERROR(SEARCH("FAIL",D7)))</formula>
    </cfRule>
    <cfRule type="containsText" dxfId="36" priority="482" operator="containsText" text="PASS">
      <formula>NOT(ISERROR(SEARCH("PASS",D7)))</formula>
    </cfRule>
  </conditionalFormatting>
  <conditionalFormatting sqref="D8:D10">
    <cfRule type="containsText" dxfId="35" priority="476" operator="containsText" text="FAIL">
      <formula>NOT(ISERROR(SEARCH("FAIL",D8)))</formula>
    </cfRule>
    <cfRule type="containsText" dxfId="34" priority="477" operator="containsText" text="PASS">
      <formula>NOT(ISERROR(SEARCH("PASS",D8)))</formula>
    </cfRule>
  </conditionalFormatting>
  <conditionalFormatting sqref="D11:D15">
    <cfRule type="containsText" dxfId="33" priority="471" operator="containsText" text="FAIL">
      <formula>NOT(ISERROR(SEARCH("FAIL",D11)))</formula>
    </cfRule>
    <cfRule type="containsText" dxfId="32" priority="472" operator="containsText" text="PASS">
      <formula>NOT(ISERROR(SEARCH("PASS",D11)))</formula>
    </cfRule>
  </conditionalFormatting>
  <conditionalFormatting sqref="D16">
    <cfRule type="containsText" dxfId="31" priority="466" operator="containsText" text="FAIL">
      <formula>NOT(ISERROR(SEARCH("FAIL",D16)))</formula>
    </cfRule>
    <cfRule type="containsText" dxfId="30" priority="467" operator="containsText" text="PASS">
      <formula>NOT(ISERROR(SEARCH("PASS",D16)))</formula>
    </cfRule>
  </conditionalFormatting>
  <conditionalFormatting sqref="D17">
    <cfRule type="containsText" dxfId="29" priority="446" operator="containsText" text="FAIL">
      <formula>NOT(ISERROR(SEARCH("FAIL",D17)))</formula>
    </cfRule>
    <cfRule type="containsText" dxfId="28" priority="44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I7" sqref="I7:I17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'Front page - Marks Overview'!D12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'Front page - Marks Overview'!$D$25</f>
        <v>Student Surname</v>
      </c>
      <c r="F5" s="64" t="str">
        <f>'Front page - Marks Overview'!$E$25</f>
        <v>Student Name</v>
      </c>
      <c r="G5" s="64" t="str">
        <f>'Front page - Marks Overview'!$F$25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>SUM(L6:U6)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1" si="0">IF(K7/K$6-J7&gt;=0, K7/K$6-J7, 0)</f>
        <v>0.72499999999999998</v>
      </c>
      <c r="I7" s="20">
        <f t="shared" ref="I7:I17" si="1">ERROR_CHECK_MARK(L7:U7,L$6:U$6,H7,K$6)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0"/>
        <v>0.87</v>
      </c>
      <c r="I8" s="20">
        <f t="shared" si="1"/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0"/>
        <v>0.45</v>
      </c>
      <c r="I9" s="20">
        <f t="shared" si="1"/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0"/>
        <v>0.53</v>
      </c>
      <c r="I10" s="20">
        <f t="shared" si="1"/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si="0"/>
        <v>0.41</v>
      </c>
      <c r="I11" s="20">
        <f t="shared" si="1"/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>IF(K12/K$6-J12&gt;=0, K12/K$6-J12, 0)</f>
        <v>0.65</v>
      </c>
      <c r="I12" s="20">
        <f t="shared" si="1"/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ref="H13:H16" si="5">IF(K13/K$6-J13&gt;=0, K13/K$6-J13, 0)</f>
        <v>0.57999999999999996</v>
      </c>
      <c r="I13" s="20">
        <f t="shared" si="1"/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0.69</v>
      </c>
      <c r="I14" s="20">
        <f t="shared" si="1"/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0.80500000000000005</v>
      </c>
      <c r="I15" s="20">
        <f t="shared" si="1"/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si="5"/>
        <v>0.77</v>
      </c>
      <c r="I16" s="20">
        <f t="shared" si="1"/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8">IF(K17/K$6-J17&gt;=0, K17/K$6-J17, 0)</f>
        <v>0.69</v>
      </c>
      <c r="I17" s="20">
        <f t="shared" si="1"/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27" priority="810" operator="containsText" text="INVALID MARK">
      <formula>NOT(ISERROR(SEARCH("INVALID MARK",I7)))</formula>
    </cfRule>
    <cfRule type="containsText" dxfId="26" priority="811" operator="containsText" text="INVALID ENTRY">
      <formula>NOT(ISERROR(SEARCH("INVALID ENTRY",I7)))</formula>
    </cfRule>
    <cfRule type="containsText" dxfId="25" priority="812" operator="containsText" text="MISSING MARK">
      <formula>NOT(ISERROR(SEARCH("MISSING MARK",I7)))</formula>
    </cfRule>
  </conditionalFormatting>
  <conditionalFormatting sqref="D7">
    <cfRule type="containsText" dxfId="24" priority="583" operator="containsText" text="FAIL">
      <formula>NOT(ISERROR(SEARCH("FAIL",D7)))</formula>
    </cfRule>
    <cfRule type="containsText" dxfId="23" priority="584" operator="containsText" text="PASS">
      <formula>NOT(ISERROR(SEARCH("PASS",D7)))</formula>
    </cfRule>
  </conditionalFormatting>
  <conditionalFormatting sqref="D8:D10">
    <cfRule type="containsText" dxfId="22" priority="565" operator="containsText" text="FAIL">
      <formula>NOT(ISERROR(SEARCH("FAIL",D8)))</formula>
    </cfRule>
    <cfRule type="containsText" dxfId="21" priority="566" operator="containsText" text="PASS">
      <formula>NOT(ISERROR(SEARCH("PASS",D8)))</formula>
    </cfRule>
  </conditionalFormatting>
  <conditionalFormatting sqref="H7:H16">
    <cfRule type="containsText" dxfId="20" priority="561" operator="containsText" text="INVALID MARK">
      <formula>NOT(ISERROR(SEARCH("INVALID MARK",H7)))</formula>
    </cfRule>
  </conditionalFormatting>
  <conditionalFormatting sqref="D11:D15">
    <cfRule type="containsText" dxfId="19" priority="559" operator="containsText" text="FAIL">
      <formula>NOT(ISERROR(SEARCH("FAIL",D11)))</formula>
    </cfRule>
    <cfRule type="containsText" dxfId="18" priority="560" operator="containsText" text="PASS">
      <formula>NOT(ISERROR(SEARCH("PASS",D11)))</formula>
    </cfRule>
  </conditionalFormatting>
  <conditionalFormatting sqref="D16">
    <cfRule type="containsText" dxfId="17" priority="553" operator="containsText" text="FAIL">
      <formula>NOT(ISERROR(SEARCH("FAIL",D16)))</formula>
    </cfRule>
    <cfRule type="containsText" dxfId="16" priority="554" operator="containsText" text="PASS">
      <formula>NOT(ISERROR(SEARCH("PASS",D16)))</formula>
    </cfRule>
  </conditionalFormatting>
  <conditionalFormatting sqref="H17">
    <cfRule type="containsText" dxfId="15" priority="534" operator="containsText" text="INVALID MARK">
      <formula>NOT(ISERROR(SEARCH("INVALID MARK",H17)))</formula>
    </cfRule>
  </conditionalFormatting>
  <conditionalFormatting sqref="D17">
    <cfRule type="containsText" dxfId="14" priority="529" operator="containsText" text="FAIL">
      <formula>NOT(ISERROR(SEARCH("FAIL",D17)))</formula>
    </cfRule>
    <cfRule type="containsText" dxfId="13" priority="530" operator="containsText" text="PASS">
      <formula>NOT(ISERROR(SEARCH("PASS",D17)))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Front page - Marks Overview</vt:lpstr>
      <vt:lpstr>Attendance sheet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2020-10-15T13:41:57Z</dcterms:modified>
</cp:coreProperties>
</file>