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Test 5" sheetId="61" r:id="rId7"/>
    <sheet name="Exam" sheetId="52" r:id="rId8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R26" i="1" l="1"/>
  <c r="M27" i="1"/>
  <c r="R27" i="1"/>
  <c r="K17" i="61"/>
  <c r="G17" i="61"/>
  <c r="F17" i="61"/>
  <c r="E17" i="61"/>
  <c r="K16" i="61"/>
  <c r="G16" i="61"/>
  <c r="F16" i="61"/>
  <c r="E16" i="61"/>
  <c r="K15" i="61"/>
  <c r="G15" i="61"/>
  <c r="F15" i="61"/>
  <c r="E15" i="61"/>
  <c r="K14" i="61"/>
  <c r="G14" i="61"/>
  <c r="F14" i="61"/>
  <c r="E14" i="61"/>
  <c r="K13" i="61"/>
  <c r="G13" i="61"/>
  <c r="F13" i="61"/>
  <c r="E13" i="61"/>
  <c r="K12" i="61"/>
  <c r="G12" i="61"/>
  <c r="F12" i="61"/>
  <c r="E12" i="61"/>
  <c r="K11" i="61"/>
  <c r="G11" i="61"/>
  <c r="F11" i="61"/>
  <c r="E11" i="61"/>
  <c r="K10" i="61"/>
  <c r="G10" i="61"/>
  <c r="F10" i="61"/>
  <c r="E10" i="61"/>
  <c r="K9" i="61"/>
  <c r="G9" i="61"/>
  <c r="F9" i="61"/>
  <c r="E9" i="61"/>
  <c r="K8" i="61"/>
  <c r="G8" i="61"/>
  <c r="F8" i="61"/>
  <c r="E8" i="61"/>
  <c r="K7" i="61"/>
  <c r="G7" i="61"/>
  <c r="F7" i="61"/>
  <c r="E7" i="61"/>
  <c r="K6" i="61"/>
  <c r="I6" i="61" s="1"/>
  <c r="D3" i="61"/>
  <c r="R25" i="1" s="1"/>
  <c r="I28" i="1"/>
  <c r="I36" i="1"/>
  <c r="I29" i="1"/>
  <c r="I30" i="1"/>
  <c r="I31" i="1"/>
  <c r="I34" i="1"/>
  <c r="I35" i="1"/>
  <c r="I37" i="1"/>
  <c r="I32" i="1"/>
  <c r="I33" i="1"/>
  <c r="I7" i="52"/>
  <c r="I15" i="52"/>
  <c r="I8" i="52"/>
  <c r="I9" i="52"/>
  <c r="I13" i="52"/>
  <c r="I16" i="52"/>
  <c r="I10" i="52"/>
  <c r="I12" i="52"/>
  <c r="I14" i="52"/>
  <c r="I11" i="52"/>
  <c r="I9" i="58"/>
  <c r="I10" i="58"/>
  <c r="I12" i="58"/>
  <c r="I11" i="58"/>
  <c r="I13" i="58"/>
  <c r="I14" i="58"/>
  <c r="I7" i="58"/>
  <c r="I8" i="58"/>
  <c r="I16" i="58"/>
  <c r="I15" i="58"/>
  <c r="I7" i="56"/>
  <c r="I15" i="56"/>
  <c r="I8" i="56"/>
  <c r="I16" i="56"/>
  <c r="I13" i="56"/>
  <c r="I14" i="56"/>
  <c r="I9" i="56"/>
  <c r="I10" i="56"/>
  <c r="I11" i="56"/>
  <c r="I12" i="56"/>
  <c r="I7" i="55"/>
  <c r="I15" i="55"/>
  <c r="I10" i="55"/>
  <c r="I8" i="55"/>
  <c r="I16" i="55"/>
  <c r="I12" i="55"/>
  <c r="I14" i="55"/>
  <c r="I9" i="55"/>
  <c r="I11" i="55"/>
  <c r="I13" i="55"/>
  <c r="I8" i="54"/>
  <c r="I9" i="54"/>
  <c r="I10" i="54"/>
  <c r="I11" i="54"/>
  <c r="I12" i="54"/>
  <c r="I13" i="54"/>
  <c r="I16" i="54"/>
  <c r="I14" i="54"/>
  <c r="I7" i="54"/>
  <c r="I15" i="54"/>
  <c r="I38" i="1"/>
  <c r="I14" i="61"/>
  <c r="I15" i="61"/>
  <c r="R36" i="1" l="1"/>
  <c r="R35" i="1"/>
  <c r="H13" i="61"/>
  <c r="H15" i="61"/>
  <c r="D15" i="61" s="1"/>
  <c r="H16" i="61"/>
  <c r="H17" i="61"/>
  <c r="H8" i="61"/>
  <c r="H14" i="61"/>
  <c r="D14" i="61" s="1"/>
  <c r="H7" i="61"/>
  <c r="H12" i="61"/>
  <c r="H11" i="61"/>
  <c r="H10" i="61"/>
  <c r="H9" i="61"/>
  <c r="K8" i="52"/>
  <c r="K9" i="52"/>
  <c r="K10" i="52"/>
  <c r="K11" i="52"/>
  <c r="K12" i="52"/>
  <c r="K13" i="52"/>
  <c r="K14" i="52"/>
  <c r="K15" i="52"/>
  <c r="K16" i="52"/>
  <c r="K17" i="52"/>
  <c r="K7" i="52"/>
  <c r="I13" i="61"/>
  <c r="I7" i="61"/>
  <c r="I16" i="61"/>
  <c r="I8" i="61"/>
  <c r="I17" i="61"/>
  <c r="I12" i="61"/>
  <c r="I10" i="61"/>
  <c r="I11" i="61"/>
  <c r="I9" i="61"/>
  <c r="R38" i="1" l="1"/>
  <c r="M38" i="1" s="1"/>
  <c r="R37" i="1"/>
  <c r="R34" i="1"/>
  <c r="D13" i="61"/>
  <c r="R33" i="1"/>
  <c r="R32" i="1"/>
  <c r="R31" i="1"/>
  <c r="R30" i="1"/>
  <c r="R29" i="1"/>
  <c r="R28" i="1"/>
  <c r="D17" i="61"/>
  <c r="D8" i="61"/>
  <c r="D16" i="61"/>
  <c r="D7" i="61"/>
  <c r="D9" i="61"/>
  <c r="D11" i="61"/>
  <c r="D10" i="61"/>
  <c r="D12" i="61"/>
  <c r="N30" i="1"/>
  <c r="N34" i="1"/>
  <c r="N33" i="1"/>
  <c r="N32" i="1"/>
  <c r="N31" i="1"/>
  <c r="N29" i="1"/>
  <c r="M6" i="1"/>
  <c r="M11" i="1"/>
  <c r="M4" i="1"/>
  <c r="M12" i="1"/>
  <c r="M7" i="1"/>
  <c r="M13" i="1"/>
  <c r="M10" i="1"/>
  <c r="M8" i="1"/>
  <c r="M9" i="1"/>
  <c r="M5" i="1"/>
  <c r="G17" i="52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M29" i="1" s="1"/>
  <c r="O32" i="1"/>
  <c r="M32" i="1" s="1"/>
  <c r="O33" i="1"/>
  <c r="O34" i="1"/>
  <c r="O30" i="1"/>
  <c r="O31" i="1"/>
  <c r="O28" i="1"/>
  <c r="N28" i="1"/>
  <c r="M30" i="1" l="1"/>
  <c r="M31" i="1"/>
  <c r="M34" i="1"/>
  <c r="M33" i="1"/>
  <c r="M28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O36" i="1"/>
  <c r="Q35" i="1"/>
  <c r="O37" i="1"/>
  <c r="P36" i="1"/>
  <c r="O35" i="1"/>
  <c r="Q36" i="1"/>
  <c r="Q37" i="1"/>
  <c r="P37" i="1"/>
  <c r="P35" i="1"/>
  <c r="N37" i="1"/>
  <c r="N36" i="1"/>
  <c r="N35" i="1"/>
  <c r="I17" i="58"/>
  <c r="M35" i="1" l="1"/>
  <c r="L35" i="1" s="1"/>
  <c r="M36" i="1"/>
  <c r="L36" i="1" s="1"/>
  <c r="M37" i="1"/>
  <c r="L37" i="1" s="1"/>
  <c r="Q38" i="1"/>
  <c r="I17" i="56"/>
  <c r="P38" i="1"/>
  <c r="I17" i="55"/>
  <c r="O38" i="1"/>
  <c r="K37" i="1"/>
  <c r="I17" i="54"/>
  <c r="J37" i="1" l="1"/>
  <c r="G37" i="1" s="1"/>
  <c r="N38" i="1"/>
  <c r="L38" i="1"/>
  <c r="K36" i="1"/>
  <c r="I17" i="52"/>
  <c r="H37" i="1" l="1"/>
  <c r="J36" i="1"/>
  <c r="G36" i="1" s="1"/>
  <c r="K38" i="1"/>
  <c r="H36" i="1" l="1"/>
  <c r="J38" i="1"/>
  <c r="G38" i="1" s="1"/>
  <c r="K35" i="1"/>
  <c r="H38" i="1" l="1"/>
  <c r="J35" i="1"/>
  <c r="H35" i="1" s="1"/>
  <c r="G35" i="1" l="1"/>
  <c r="M16" i="1" s="1"/>
  <c r="M15" i="1"/>
  <c r="M14" i="1"/>
  <c r="M18" i="1"/>
  <c r="M19" i="1"/>
  <c r="M17" i="1"/>
</calcChain>
</file>

<file path=xl/sharedStrings.xml><?xml version="1.0" encoding="utf-8"?>
<sst xmlns="http://schemas.openxmlformats.org/spreadsheetml/2006/main" count="224" uniqueCount="105">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</sst>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80"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abSelected="1" topLeftCell="B4" zoomScaleNormal="100" workbookViewId="0">
      <selection activeCell="E17" sqref="E17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8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67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104</v>
      </c>
      <c r="M4" s="59">
        <f t="shared" ref="M4:M13" si="0"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 t="shared" si="0"/>
        <v>1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5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2</v>
      </c>
    </row>
    <row r="10" spans="3:13" x14ac:dyDescent="0.25">
      <c r="C10" s="38" t="s">
        <v>48</v>
      </c>
      <c r="D10" s="39">
        <v>0.5</v>
      </c>
      <c r="F10" s="122" t="s">
        <v>68</v>
      </c>
      <c r="G10" s="123"/>
      <c r="H10" s="123"/>
      <c r="I10" s="124"/>
      <c r="J10" s="35"/>
      <c r="K10" s="56" t="s">
        <v>22</v>
      </c>
      <c r="L10" s="50" t="s">
        <v>32</v>
      </c>
      <c r="M10" s="59">
        <f t="shared" si="0"/>
        <v>2</v>
      </c>
    </row>
    <row r="11" spans="3:13" x14ac:dyDescent="0.25">
      <c r="C11" s="42" t="s">
        <v>46</v>
      </c>
      <c r="D11" s="43">
        <v>0.4</v>
      </c>
      <c r="F11" s="113" t="s">
        <v>69</v>
      </c>
      <c r="G11" s="114"/>
      <c r="H11" s="114"/>
      <c r="I11" s="115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13" t="s">
        <v>71</v>
      </c>
      <c r="G12" s="114"/>
      <c r="H12" s="114"/>
      <c r="I12" s="115"/>
      <c r="J12" s="35"/>
      <c r="K12" s="57" t="s">
        <v>30</v>
      </c>
      <c r="L12" s="51" t="s">
        <v>36</v>
      </c>
      <c r="M12" s="59">
        <f t="shared" si="0"/>
        <v>1</v>
      </c>
    </row>
    <row r="13" spans="3:13" ht="15.75" thickBot="1" x14ac:dyDescent="0.3">
      <c r="C13" s="44" t="s">
        <v>47</v>
      </c>
      <c r="D13" s="45">
        <v>0.4</v>
      </c>
      <c r="F13" s="110" t="s">
        <v>70</v>
      </c>
      <c r="G13" s="111"/>
      <c r="H13" s="111"/>
      <c r="I13" s="112"/>
      <c r="J13" s="35"/>
      <c r="K13" s="58" t="s">
        <v>29</v>
      </c>
      <c r="L13" s="52" t="s">
        <v>38</v>
      </c>
      <c r="M13" s="59">
        <f t="shared" si="0"/>
        <v>0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8" x14ac:dyDescent="0.25">
      <c r="J17" s="35"/>
      <c r="K17" s="108" t="s">
        <v>40</v>
      </c>
      <c r="L17" s="109"/>
      <c r="M17" s="61">
        <f>MAX(J28:J38)-MIN(J28:J38)</f>
        <v>0.47050000000000003</v>
      </c>
    </row>
    <row r="18" spans="1:18" x14ac:dyDescent="0.25">
      <c r="J18" s="35"/>
      <c r="K18" s="108" t="s">
        <v>41</v>
      </c>
      <c r="L18" s="109"/>
      <c r="M18" s="61">
        <f>AVERAGE(J28:J38)</f>
        <v>0.59209090909090911</v>
      </c>
    </row>
    <row r="19" spans="1:18" ht="15.75" thickBot="1" x14ac:dyDescent="0.3">
      <c r="J19" s="35"/>
      <c r="K19" s="104" t="s">
        <v>42</v>
      </c>
      <c r="L19" s="105"/>
      <c r="M19" s="62">
        <f>STDEV(J28:J38)</f>
        <v>0.13037059066020565</v>
      </c>
    </row>
    <row r="24" spans="1:18" ht="15.75" thickBot="1" x14ac:dyDescent="0.3"/>
    <row r="25" spans="1:18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  <c r="R25" s="65" t="str">
        <f ca="1">'Test 5'!D3</f>
        <v>Test 5</v>
      </c>
    </row>
    <row r="26" spans="1:18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8.3333333333333329E-2</v>
      </c>
      <c r="O26" s="97">
        <f t="shared" ref="O26:R26" si="1">O27/$M$27</f>
        <v>0.25</v>
      </c>
      <c r="P26" s="97">
        <f t="shared" si="1"/>
        <v>0.16666666666666666</v>
      </c>
      <c r="Q26" s="97">
        <f t="shared" si="1"/>
        <v>0.41666666666666669</v>
      </c>
      <c r="R26" s="97">
        <f t="shared" si="1"/>
        <v>8.3333333333333329E-2</v>
      </c>
    </row>
    <row r="27" spans="1:18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SUM(N27:R27)</f>
        <v>120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  <c r="R27" s="32">
        <f>'Test 5'!I6</f>
        <v>10</v>
      </c>
    </row>
    <row r="28" spans="1:18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2">IF(AND(K28&gt;=D$13, J28&gt;=D$11), IF(OR(K28&lt;D$12, J28&lt;D$10), "WRITE SUPP", "NO SUPP"), "NO SUPP")</f>
        <v>NO SUPP</v>
      </c>
      <c r="H28" s="74" t="str">
        <f t="shared" ref="H28:H38" si="3">IF(K28&gt;=D$12, IF(J28&gt;=D$10, "PASS", "FAIL"), "FAIL")</f>
        <v>PASS</v>
      </c>
      <c r="I28" s="74" t="str">
        <f t="shared" ref="I28:I37" si="4">STUDENT_GRADE(J28,K$4:K$13,L$4:L$13)</f>
        <v>B</v>
      </c>
      <c r="J28" s="89">
        <f t="shared" ref="J28:J38" si="5">IFERROR(K$26*K28+L$26*L28, L$26*L28)</f>
        <v>0.65749999999999997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6">M28/M$27</f>
        <v>0.61250000000000004</v>
      </c>
      <c r="M28" s="74">
        <f>SUM(N28:R28)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  <c r="R28" s="75" t="str">
        <f>'Test 5'!I7</f>
        <v>MISSING MARK</v>
      </c>
    </row>
    <row r="29" spans="1:18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2"/>
        <v>NO SUPP</v>
      </c>
      <c r="H29" s="74" t="str">
        <f t="shared" si="3"/>
        <v>PASS</v>
      </c>
      <c r="I29" s="74" t="str">
        <f t="shared" si="4"/>
        <v>A+</v>
      </c>
      <c r="J29" s="89">
        <f t="shared" si="5"/>
        <v>0.84050000000000002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6"/>
        <v>0.8208333333333333</v>
      </c>
      <c r="M29" s="74">
        <f>SUM(N29:R29)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  <c r="R29" s="75" t="str">
        <f>'Test 5'!I8</f>
        <v>MISSING MARK</v>
      </c>
    </row>
    <row r="30" spans="1:18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 t="shared" si="4"/>
        <v>D</v>
      </c>
      <c r="J30" s="89">
        <f t="shared" si="5"/>
        <v>0.37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6"/>
        <v>0.31666666666666665</v>
      </c>
      <c r="M30" s="74">
        <f>SUM(N30:R30)</f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  <c r="R30" s="75" t="str">
        <f>'Test 5'!I9</f>
        <v>MISSING MARK</v>
      </c>
    </row>
    <row r="31" spans="1:18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 t="shared" si="4"/>
        <v>C</v>
      </c>
      <c r="J31" s="89">
        <f t="shared" si="5"/>
        <v>0.51200000000000001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6"/>
        <v>0.5</v>
      </c>
      <c r="M31" s="74">
        <f>SUM(N31:R31)</f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  <c r="R31" s="75" t="str">
        <f>'Test 5'!I10</f>
        <v>MISSING MARK</v>
      </c>
    </row>
    <row r="32" spans="1:18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3"/>
        <v>FAIL</v>
      </c>
      <c r="I32" s="74" t="str">
        <f t="shared" si="4"/>
        <v>C+</v>
      </c>
      <c r="J32" s="89">
        <f t="shared" si="5"/>
        <v>0.53900000000000003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6"/>
        <v>0.625</v>
      </c>
      <c r="M32" s="74">
        <f>SUM(N32:R32)</f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  <c r="R32" s="75" t="str">
        <f>'Test 5'!I11</f>
        <v>MISSING MARK</v>
      </c>
    </row>
    <row r="33" spans="1:18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2"/>
        <v>WRITE SUPP</v>
      </c>
      <c r="H33" s="74" t="str">
        <f t="shared" si="3"/>
        <v>FAIL</v>
      </c>
      <c r="I33" s="74" t="str">
        <f t="shared" si="4"/>
        <v>C-</v>
      </c>
      <c r="J33" s="89">
        <f t="shared" si="5"/>
        <v>0.45500000000000002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6"/>
        <v>0.32500000000000001</v>
      </c>
      <c r="M33" s="74">
        <f>SUM(N33:R33)</f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  <c r="R33" s="75" t="str">
        <f>'Test 5'!I12</f>
        <v>MISSING MARK</v>
      </c>
    </row>
    <row r="34" spans="1:18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2"/>
        <v>NO SUPP</v>
      </c>
      <c r="H34" s="74" t="str">
        <f t="shared" si="3"/>
        <v>PASS</v>
      </c>
      <c r="I34" s="74" t="str">
        <f t="shared" si="4"/>
        <v>C+</v>
      </c>
      <c r="J34" s="89">
        <f t="shared" si="5"/>
        <v>0.55699999999999994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6"/>
        <v>0.54166666666666663</v>
      </c>
      <c r="M34" s="74">
        <f>SUM(N34:R34)</f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  <c r="R34" s="75" t="str">
        <f>'Test 5'!I13</f>
        <v>MISSING MARK</v>
      </c>
    </row>
    <row r="35" spans="1:18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2"/>
        <v>NO SUPP</v>
      </c>
      <c r="H35" s="74" t="str">
        <f t="shared" si="3"/>
        <v>PASS</v>
      </c>
      <c r="I35" s="74" t="str">
        <f t="shared" si="4"/>
        <v>C</v>
      </c>
      <c r="J35" s="89">
        <f t="shared" si="5"/>
        <v>0.54849999999999999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6"/>
        <v>0.45416666666666666</v>
      </c>
      <c r="M35" s="74">
        <f>SUM(N35:R35)</f>
        <v>54.5</v>
      </c>
      <c r="N35" s="75" t="str">
        <f>'Test 1'!I14</f>
        <v>INVALID MARK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  <c r="R35" s="75" t="str">
        <f>'Test 5'!I14</f>
        <v>MISSING MARK</v>
      </c>
    </row>
    <row r="36" spans="1:18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2"/>
        <v>NO SUPP</v>
      </c>
      <c r="H36" s="74" t="str">
        <f t="shared" si="3"/>
        <v>PASS</v>
      </c>
      <c r="I36" s="74" t="str">
        <f t="shared" si="4"/>
        <v>B-</v>
      </c>
      <c r="J36" s="89">
        <f t="shared" si="5"/>
        <v>0.64700000000000002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6"/>
        <v>0.54166666666666663</v>
      </c>
      <c r="M36" s="74">
        <f>SUM(N36:R36)</f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  <c r="R36" s="75" t="str">
        <f>'Test 5'!I15</f>
        <v>MISSING MARK</v>
      </c>
    </row>
    <row r="37" spans="1:18" x14ac:dyDescent="0.25">
      <c r="A37" s="102"/>
      <c r="D37" s="73" t="s">
        <v>2</v>
      </c>
      <c r="E37" s="73" t="s">
        <v>96</v>
      </c>
      <c r="F37" s="88"/>
      <c r="G37" s="74" t="str">
        <f t="shared" si="2"/>
        <v>NO SUPP</v>
      </c>
      <c r="H37" s="74" t="str">
        <f t="shared" si="3"/>
        <v>PASS</v>
      </c>
      <c r="I37" s="74" t="str">
        <f t="shared" si="4"/>
        <v>B+</v>
      </c>
      <c r="J37" s="89">
        <f t="shared" si="5"/>
        <v>0.6905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6"/>
        <v>0.63749999999999996</v>
      </c>
      <c r="M37" s="74">
        <f>SUM(N37:R37)</f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  <c r="R37" s="75" t="str">
        <f>'Test 5'!I16</f>
        <v>MISSING MARK</v>
      </c>
    </row>
    <row r="38" spans="1:18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2"/>
        <v>NO SUPP</v>
      </c>
      <c r="H38" s="74" t="str">
        <f t="shared" si="3"/>
        <v>PASS</v>
      </c>
      <c r="I38" s="74" t="str">
        <f>STUDENT_GRADE(J38,K$4:K$13,L$4:L$13)</f>
        <v>B</v>
      </c>
      <c r="J38" s="89">
        <f t="shared" si="5"/>
        <v>0.69599999999999995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6"/>
        <v>0.7</v>
      </c>
      <c r="M38" s="74">
        <f>SUM(N38:R38)</f>
        <v>84</v>
      </c>
      <c r="N38" s="75">
        <f>'Test 1'!I17</f>
        <v>7</v>
      </c>
      <c r="O38" s="75">
        <f>'Test 2'!I17</f>
        <v>16.999999999999996</v>
      </c>
      <c r="P38" s="75">
        <f>'Oral Assignment 1'!I17</f>
        <v>21</v>
      </c>
      <c r="Q38" s="75">
        <f>'Test 4'!I17</f>
        <v>39</v>
      </c>
      <c r="R38" s="75" t="str">
        <f>'Test 5'!I17</f>
        <v>MISSING MARK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I28:I38">
    <cfRule type="cellIs" dxfId="179" priority="1395" operator="equal">
      <formula>$L$11</formula>
    </cfRule>
    <cfRule type="cellIs" dxfId="178" priority="1397" operator="equal">
      <formula>$L$9</formula>
    </cfRule>
    <cfRule type="cellIs" dxfId="177" priority="5557" operator="equal">
      <formula>$L$8</formula>
    </cfRule>
    <cfRule type="cellIs" dxfId="176" priority="5559" operator="equal">
      <formula>$L$6</formula>
    </cfRule>
    <cfRule type="cellIs" dxfId="175" priority="5560" operator="equal">
      <formula>$L$5</formula>
    </cfRule>
    <cfRule type="cellIs" dxfId="174" priority="5807" operator="equal">
      <formula>$L$4</formula>
    </cfRule>
  </conditionalFormatting>
  <conditionalFormatting sqref="G28">
    <cfRule type="containsText" dxfId="173" priority="5806" operator="containsText" text="WRITE SUPP">
      <formula>NOT(ISERROR(SEARCH("WRITE SUPP",G28)))</formula>
    </cfRule>
  </conditionalFormatting>
  <conditionalFormatting sqref="K28:K38">
    <cfRule type="containsText" dxfId="172" priority="2225" operator="containsText" text="MISSING MARK">
      <formula>NOT(ISERROR(SEARCH("MISSING MARK",K28)))</formula>
    </cfRule>
    <cfRule type="containsText" dxfId="171" priority="5802" operator="containsText" text="INVALID MARK">
      <formula>NOT(ISERROR(SEARCH("INVALID MARK",K28)))</formula>
    </cfRule>
    <cfRule type="cellIs" dxfId="170" priority="5809" operator="lessThan">
      <formula>$D$12</formula>
    </cfRule>
    <cfRule type="cellIs" priority="5810" operator="greaterThanOrEqual">
      <formula>$D$12</formula>
    </cfRule>
    <cfRule type="expression" dxfId="169" priority="5811">
      <formula>"&gt;=$D$10"</formula>
    </cfRule>
  </conditionalFormatting>
  <conditionalFormatting sqref="N28:N38">
    <cfRule type="containsText" dxfId="168" priority="5803" operator="containsText" text="INVALID MARK">
      <formula>NOT(ISERROR(SEARCH("INVALID MARK",N28)))</formula>
    </cfRule>
    <cfRule type="containsText" dxfId="167" priority="5804" operator="containsText" text="INVALID ENTRY">
      <formula>NOT(ISERROR(SEARCH("INVALID ENTRY",N28)))</formula>
    </cfRule>
    <cfRule type="containsText" dxfId="166" priority="5805" operator="containsText" text="MISSING MARK">
      <formula>NOT(ISERROR(SEARCH("MISSING MARK",N28)))</formula>
    </cfRule>
  </conditionalFormatting>
  <conditionalFormatting sqref="H28">
    <cfRule type="containsText" dxfId="165" priority="5801" operator="containsText" text="FAIL">
      <formula>NOT(ISERROR(SEARCH("FAIL",H28)))</formula>
    </cfRule>
  </conditionalFormatting>
  <conditionalFormatting sqref="I28:I38">
    <cfRule type="cellIs" dxfId="164" priority="1393" operator="equal">
      <formula>$L$13</formula>
    </cfRule>
    <cfRule type="cellIs" dxfId="163" priority="1394" operator="equal">
      <formula>$L$12</formula>
    </cfRule>
    <cfRule type="cellIs" dxfId="162" priority="1396" operator="equal">
      <formula>$L$10</formula>
    </cfRule>
    <cfRule type="cellIs" dxfId="161" priority="5558" operator="equal">
      <formula>$L$7</formula>
    </cfRule>
  </conditionalFormatting>
  <conditionalFormatting sqref="G29:G31">
    <cfRule type="containsText" dxfId="160" priority="2365" operator="containsText" text="WRITE SUPP">
      <formula>NOT(ISERROR(SEARCH("WRITE SUPP",G29)))</formula>
    </cfRule>
  </conditionalFormatting>
  <conditionalFormatting sqref="J28:J37">
    <cfRule type="cellIs" dxfId="159" priority="2367" operator="lessThan">
      <formula>$D$10</formula>
    </cfRule>
  </conditionalFormatting>
  <conditionalFormatting sqref="H29:H31">
    <cfRule type="containsText" dxfId="158" priority="2360" operator="containsText" text="FAIL">
      <formula>NOT(ISERROR(SEARCH("FAIL",H29)))</formula>
    </cfRule>
  </conditionalFormatting>
  <conditionalFormatting sqref="O28">
    <cfRule type="containsText" dxfId="157" priority="2353" operator="containsText" text="INVALID MARK">
      <formula>NOT(ISERROR(SEARCH("INVALID MARK",O28)))</formula>
    </cfRule>
    <cfRule type="containsText" dxfId="156" priority="2354" operator="containsText" text="INVALID ENTRY">
      <formula>NOT(ISERROR(SEARCH("INVALID ENTRY",O28)))</formula>
    </cfRule>
    <cfRule type="containsText" dxfId="155" priority="2355" operator="containsText" text="MISSING MARK">
      <formula>NOT(ISERROR(SEARCH("MISSING MARK",O28)))</formula>
    </cfRule>
  </conditionalFormatting>
  <conditionalFormatting sqref="O29:O31">
    <cfRule type="containsText" dxfId="154" priority="2350" operator="containsText" text="INVALID MARK">
      <formula>NOT(ISERROR(SEARCH("INVALID MARK",O29)))</formula>
    </cfRule>
    <cfRule type="containsText" dxfId="153" priority="2351" operator="containsText" text="INVALID ENTRY">
      <formula>NOT(ISERROR(SEARCH("INVALID ENTRY",O29)))</formula>
    </cfRule>
    <cfRule type="containsText" dxfId="152" priority="2352" operator="containsText" text="MISSING MARK">
      <formula>NOT(ISERROR(SEARCH("MISSING MARK",O29)))</formula>
    </cfRule>
  </conditionalFormatting>
  <conditionalFormatting sqref="P28">
    <cfRule type="containsText" dxfId="151" priority="2347" operator="containsText" text="INVALID MARK">
      <formula>NOT(ISERROR(SEARCH("INVALID MARK",P28)))</formula>
    </cfRule>
    <cfRule type="containsText" dxfId="150" priority="2348" operator="containsText" text="INVALID ENTRY">
      <formula>NOT(ISERROR(SEARCH("INVALID ENTRY",P28)))</formula>
    </cfRule>
    <cfRule type="containsText" dxfId="149" priority="2349" operator="containsText" text="MISSING MARK">
      <formula>NOT(ISERROR(SEARCH("MISSING MARK",P28)))</formula>
    </cfRule>
  </conditionalFormatting>
  <conditionalFormatting sqref="P29:P31">
    <cfRule type="containsText" dxfId="148" priority="2344" operator="containsText" text="INVALID MARK">
      <formula>NOT(ISERROR(SEARCH("INVALID MARK",P29)))</formula>
    </cfRule>
    <cfRule type="containsText" dxfId="147" priority="2345" operator="containsText" text="INVALID ENTRY">
      <formula>NOT(ISERROR(SEARCH("INVALID ENTRY",P29)))</formula>
    </cfRule>
    <cfRule type="containsText" dxfId="146" priority="2346" operator="containsText" text="MISSING MARK">
      <formula>NOT(ISERROR(SEARCH("MISSING MARK",P29)))</formula>
    </cfRule>
  </conditionalFormatting>
  <conditionalFormatting sqref="Q28">
    <cfRule type="containsText" dxfId="145" priority="2335" operator="containsText" text="INVALID MARK">
      <formula>NOT(ISERROR(SEARCH("INVALID MARK",Q28)))</formula>
    </cfRule>
    <cfRule type="containsText" dxfId="144" priority="2336" operator="containsText" text="INVALID ENTRY">
      <formula>NOT(ISERROR(SEARCH("INVALID ENTRY",Q28)))</formula>
    </cfRule>
    <cfRule type="containsText" dxfId="143" priority="2337" operator="containsText" text="MISSING MARK">
      <formula>NOT(ISERROR(SEARCH("MISSING MARK",Q28)))</formula>
    </cfRule>
  </conditionalFormatting>
  <conditionalFormatting sqref="Q29:Q31">
    <cfRule type="containsText" dxfId="142" priority="2332" operator="containsText" text="INVALID MARK">
      <formula>NOT(ISERROR(SEARCH("INVALID MARK",Q29)))</formula>
    </cfRule>
    <cfRule type="containsText" dxfId="141" priority="2333" operator="containsText" text="INVALID ENTRY">
      <formula>NOT(ISERROR(SEARCH("INVALID ENTRY",Q29)))</formula>
    </cfRule>
    <cfRule type="containsText" dxfId="140" priority="2334" operator="containsText" text="MISSING MARK">
      <formula>NOT(ISERROR(SEARCH("MISSING MARK",Q29)))</formula>
    </cfRule>
  </conditionalFormatting>
  <conditionalFormatting sqref="G32:G36">
    <cfRule type="containsText" dxfId="139" priority="2326" operator="containsText" text="WRITE SUPP">
      <formula>NOT(ISERROR(SEARCH("WRITE SUPP",G32)))</formula>
    </cfRule>
  </conditionalFormatting>
  <conditionalFormatting sqref="H32:H36">
    <cfRule type="containsText" dxfId="138" priority="2321" operator="containsText" text="FAIL">
      <formula>NOT(ISERROR(SEARCH("FAIL",H32)))</formula>
    </cfRule>
  </conditionalFormatting>
  <conditionalFormatting sqref="O32:O36">
    <cfRule type="containsText" dxfId="137" priority="2314" operator="containsText" text="INVALID MARK">
      <formula>NOT(ISERROR(SEARCH("INVALID MARK",O32)))</formula>
    </cfRule>
    <cfRule type="containsText" dxfId="136" priority="2315" operator="containsText" text="INVALID ENTRY">
      <formula>NOT(ISERROR(SEARCH("INVALID ENTRY",O32)))</formula>
    </cfRule>
    <cfRule type="containsText" dxfId="135" priority="2316" operator="containsText" text="MISSING MARK">
      <formula>NOT(ISERROR(SEARCH("MISSING MARK",O32)))</formula>
    </cfRule>
  </conditionalFormatting>
  <conditionalFormatting sqref="P32:P36">
    <cfRule type="containsText" dxfId="134" priority="2311" operator="containsText" text="INVALID MARK">
      <formula>NOT(ISERROR(SEARCH("INVALID MARK",P32)))</formula>
    </cfRule>
    <cfRule type="containsText" dxfId="133" priority="2312" operator="containsText" text="INVALID ENTRY">
      <formula>NOT(ISERROR(SEARCH("INVALID ENTRY",P32)))</formula>
    </cfRule>
    <cfRule type="containsText" dxfId="132" priority="2313" operator="containsText" text="MISSING MARK">
      <formula>NOT(ISERROR(SEARCH("MISSING MARK",P32)))</formula>
    </cfRule>
  </conditionalFormatting>
  <conditionalFormatting sqref="Q32:Q36">
    <cfRule type="containsText" dxfId="131" priority="2308" operator="containsText" text="INVALID MARK">
      <formula>NOT(ISERROR(SEARCH("INVALID MARK",Q32)))</formula>
    </cfRule>
    <cfRule type="containsText" dxfId="130" priority="2309" operator="containsText" text="INVALID ENTRY">
      <formula>NOT(ISERROR(SEARCH("INVALID ENTRY",Q32)))</formula>
    </cfRule>
    <cfRule type="containsText" dxfId="129" priority="2310" operator="containsText" text="MISSING MARK">
      <formula>NOT(ISERROR(SEARCH("MISSING MARK",Q32)))</formula>
    </cfRule>
  </conditionalFormatting>
  <conditionalFormatting sqref="G37">
    <cfRule type="containsText" dxfId="128" priority="2293" operator="containsText" text="WRITE SUPP">
      <formula>NOT(ISERROR(SEARCH("WRITE SUPP",G37)))</formula>
    </cfRule>
  </conditionalFormatting>
  <conditionalFormatting sqref="H37">
    <cfRule type="containsText" dxfId="127" priority="2288" operator="containsText" text="FAIL">
      <formula>NOT(ISERROR(SEARCH("FAIL",H37)))</formula>
    </cfRule>
  </conditionalFormatting>
  <conditionalFormatting sqref="O37">
    <cfRule type="containsText" dxfId="126" priority="2281" operator="containsText" text="INVALID MARK">
      <formula>NOT(ISERROR(SEARCH("INVALID MARK",O37)))</formula>
    </cfRule>
    <cfRule type="containsText" dxfId="125" priority="2282" operator="containsText" text="INVALID ENTRY">
      <formula>NOT(ISERROR(SEARCH("INVALID ENTRY",O37)))</formula>
    </cfRule>
    <cfRule type="containsText" dxfId="124" priority="2283" operator="containsText" text="MISSING MARK">
      <formula>NOT(ISERROR(SEARCH("MISSING MARK",O37)))</formula>
    </cfRule>
  </conditionalFormatting>
  <conditionalFormatting sqref="P37">
    <cfRule type="containsText" dxfId="123" priority="2278" operator="containsText" text="INVALID MARK">
      <formula>NOT(ISERROR(SEARCH("INVALID MARK",P37)))</formula>
    </cfRule>
    <cfRule type="containsText" dxfId="122" priority="2279" operator="containsText" text="INVALID ENTRY">
      <formula>NOT(ISERROR(SEARCH("INVALID ENTRY",P37)))</formula>
    </cfRule>
    <cfRule type="containsText" dxfId="121" priority="2280" operator="containsText" text="MISSING MARK">
      <formula>NOT(ISERROR(SEARCH("MISSING MARK",P37)))</formula>
    </cfRule>
  </conditionalFormatting>
  <conditionalFormatting sqref="Q37">
    <cfRule type="containsText" dxfId="120" priority="2275" operator="containsText" text="INVALID MARK">
      <formula>NOT(ISERROR(SEARCH("INVALID MARK",Q37)))</formula>
    </cfRule>
    <cfRule type="containsText" dxfId="119" priority="2276" operator="containsText" text="INVALID ENTRY">
      <formula>NOT(ISERROR(SEARCH("INVALID ENTRY",Q37)))</formula>
    </cfRule>
    <cfRule type="containsText" dxfId="118" priority="2277" operator="containsText" text="MISSING MARK">
      <formula>NOT(ISERROR(SEARCH("MISSING MARK",Q37)))</formula>
    </cfRule>
  </conditionalFormatting>
  <conditionalFormatting sqref="J38">
    <cfRule type="cellIs" dxfId="117" priority="2195" operator="lessThan">
      <formula>$D$10</formula>
    </cfRule>
  </conditionalFormatting>
  <conditionalFormatting sqref="G38">
    <cfRule type="containsText" dxfId="116" priority="2193" operator="containsText" text="WRITE SUPP">
      <formula>NOT(ISERROR(SEARCH("WRITE SUPP",G38)))</formula>
    </cfRule>
  </conditionalFormatting>
  <conditionalFormatting sqref="H38">
    <cfRule type="containsText" dxfId="115" priority="2189" operator="containsText" text="FAIL">
      <formula>NOT(ISERROR(SEARCH("FAIL",H38)))</formula>
    </cfRule>
  </conditionalFormatting>
  <conditionalFormatting sqref="O38">
    <cfRule type="containsText" dxfId="114" priority="2182" operator="containsText" text="INVALID MARK">
      <formula>NOT(ISERROR(SEARCH("INVALID MARK",O38)))</formula>
    </cfRule>
    <cfRule type="containsText" dxfId="113" priority="2183" operator="containsText" text="INVALID ENTRY">
      <formula>NOT(ISERROR(SEARCH("INVALID ENTRY",O38)))</formula>
    </cfRule>
    <cfRule type="containsText" dxfId="112" priority="2184" operator="containsText" text="MISSING MARK">
      <formula>NOT(ISERROR(SEARCH("MISSING MARK",O38)))</formula>
    </cfRule>
  </conditionalFormatting>
  <conditionalFormatting sqref="P38">
    <cfRule type="containsText" dxfId="111" priority="2179" operator="containsText" text="INVALID MARK">
      <formula>NOT(ISERROR(SEARCH("INVALID MARK",P38)))</formula>
    </cfRule>
    <cfRule type="containsText" dxfId="110" priority="2180" operator="containsText" text="INVALID ENTRY">
      <formula>NOT(ISERROR(SEARCH("INVALID ENTRY",P38)))</formula>
    </cfRule>
    <cfRule type="containsText" dxfId="109" priority="2181" operator="containsText" text="MISSING MARK">
      <formula>NOT(ISERROR(SEARCH("MISSING MARK",P38)))</formula>
    </cfRule>
  </conditionalFormatting>
  <conditionalFormatting sqref="Q38">
    <cfRule type="containsText" dxfId="108" priority="2176" operator="containsText" text="INVALID MARK">
      <formula>NOT(ISERROR(SEARCH("INVALID MARK",Q38)))</formula>
    </cfRule>
    <cfRule type="containsText" dxfId="107" priority="2177" operator="containsText" text="INVALID ENTRY">
      <formula>NOT(ISERROR(SEARCH("INVALID ENTRY",Q38)))</formula>
    </cfRule>
    <cfRule type="containsText" dxfId="106" priority="2178" operator="containsText" text="MISSING MARK">
      <formula>NOT(ISERROR(SEARCH("MISSING MARK",Q38)))</formula>
    </cfRule>
  </conditionalFormatting>
  <conditionalFormatting sqref="K28:K38">
    <cfRule type="containsText" dxfId="105" priority="1044" operator="containsText" text="INVALID ENTRY">
      <formula>NOT(ISERROR(SEARCH("INVALID ENTRY",K28)))</formula>
    </cfRule>
  </conditionalFormatting>
  <conditionalFormatting sqref="R28">
    <cfRule type="containsText" dxfId="24" priority="13" operator="containsText" text="INVALID MARK">
      <formula>NOT(ISERROR(SEARCH("INVALID MARK",R28)))</formula>
    </cfRule>
    <cfRule type="containsText" dxfId="23" priority="14" operator="containsText" text="INVALID ENTRY">
      <formula>NOT(ISERROR(SEARCH("INVALID ENTRY",R28)))</formula>
    </cfRule>
    <cfRule type="containsText" dxfId="22" priority="15" operator="containsText" text="MISSING MARK">
      <formula>NOT(ISERROR(SEARCH("MISSING MARK",R28)))</formula>
    </cfRule>
  </conditionalFormatting>
  <conditionalFormatting sqref="R29:R31">
    <cfRule type="containsText" dxfId="21" priority="10" operator="containsText" text="INVALID MARK">
      <formula>NOT(ISERROR(SEARCH("INVALID MARK",R29)))</formula>
    </cfRule>
    <cfRule type="containsText" dxfId="20" priority="11" operator="containsText" text="INVALID ENTRY">
      <formula>NOT(ISERROR(SEARCH("INVALID ENTRY",R29)))</formula>
    </cfRule>
    <cfRule type="containsText" dxfId="19" priority="12" operator="containsText" text="MISSING MARK">
      <formula>NOT(ISERROR(SEARCH("MISSING MARK",R29)))</formula>
    </cfRule>
  </conditionalFormatting>
  <conditionalFormatting sqref="R32:R36">
    <cfRule type="containsText" dxfId="18" priority="7" operator="containsText" text="INVALID MARK">
      <formula>NOT(ISERROR(SEARCH("INVALID MARK",R32)))</formula>
    </cfRule>
    <cfRule type="containsText" dxfId="17" priority="8" operator="containsText" text="INVALID ENTRY">
      <formula>NOT(ISERROR(SEARCH("INVALID ENTRY",R32)))</formula>
    </cfRule>
    <cfRule type="containsText" dxfId="16" priority="9" operator="containsText" text="MISSING MARK">
      <formula>NOT(ISERROR(SEARCH("MISSING MARK",R32)))</formula>
    </cfRule>
  </conditionalFormatting>
  <conditionalFormatting sqref="R37">
    <cfRule type="containsText" dxfId="15" priority="4" operator="containsText" text="INVALID MARK">
      <formula>NOT(ISERROR(SEARCH("INVALID MARK",R37)))</formula>
    </cfRule>
    <cfRule type="containsText" dxfId="14" priority="5" operator="containsText" text="INVALID ENTRY">
      <formula>NOT(ISERROR(SEARCH("INVALID ENTRY",R37)))</formula>
    </cfRule>
    <cfRule type="containsText" dxfId="13" priority="6" operator="containsText" text="MISSING MARK">
      <formula>NOT(ISERROR(SEARCH("MISSING MARK",R37)))</formula>
    </cfRule>
  </conditionalFormatting>
  <conditionalFormatting sqref="R38">
    <cfRule type="containsText" dxfId="12" priority="1" operator="containsText" text="INVALID MARK">
      <formula>NOT(ISERROR(SEARCH("INVALID MARK",R38)))</formula>
    </cfRule>
    <cfRule type="containsText" dxfId="11" priority="2" operator="containsText" text="INVALID ENTRY">
      <formula>NOT(ISERROR(SEARCH("INVALID ENTRY",R38)))</formula>
    </cfRule>
    <cfRule type="containsText" dxfId="10" priority="3" operator="containsText" text="MISSING MARK">
      <formula>NOT(ISERROR(SEARCH("MISSING MARK",R38)))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7"/>
        <v>5.6</v>
      </c>
      <c r="I14" s="20" t="str">
        <f>IF(ISOVERMAX(L14:U14)=1,"INVALID MARK",IF(ISOVERMAX(L14:U14)=2,"INVALID ENTRY",IF(COUNT(L14:U14)&lt;COUNT(L$6:U$6),"MISSING MARK",(H14-J14)*K$6)))</f>
        <v>INVALID MARK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104" priority="441" operator="containsText" text="INVALID MARK">
      <formula>NOT(ISERROR(SEARCH("INVALID MARK",I7)))</formula>
    </cfRule>
    <cfRule type="containsText" dxfId="103" priority="442" operator="containsText" text="INVALID ENTRY">
      <formula>NOT(ISERROR(SEARCH("INVALID ENTRY",I7)))</formula>
    </cfRule>
    <cfRule type="containsText" dxfId="102" priority="443" operator="containsText" text="MISSING MARK">
      <formula>NOT(ISERROR(SEARCH("MISSING MARK",I7)))</formula>
    </cfRule>
  </conditionalFormatting>
  <conditionalFormatting sqref="D7">
    <cfRule type="containsText" dxfId="101" priority="271" operator="containsText" text="FAIL">
      <formula>NOT(ISERROR(SEARCH("FAIL",D7)))</formula>
    </cfRule>
    <cfRule type="containsText" dxfId="100" priority="272" operator="containsText" text="PASS">
      <formula>NOT(ISERROR(SEARCH("PASS",D7)))</formula>
    </cfRule>
  </conditionalFormatting>
  <conditionalFormatting sqref="D8:D10">
    <cfRule type="containsText" dxfId="99" priority="256" operator="containsText" text="FAIL">
      <formula>NOT(ISERROR(SEARCH("FAIL",D8)))</formula>
    </cfRule>
    <cfRule type="containsText" dxfId="98" priority="257" operator="containsText" text="PASS">
      <formula>NOT(ISERROR(SEARCH("PASS",D8)))</formula>
    </cfRule>
  </conditionalFormatting>
  <conditionalFormatting sqref="D11:D15">
    <cfRule type="containsText" dxfId="97" priority="251" operator="containsText" text="FAIL">
      <formula>NOT(ISERROR(SEARCH("FAIL",D11)))</formula>
    </cfRule>
    <cfRule type="containsText" dxfId="96" priority="252" operator="containsText" text="PASS">
      <formula>NOT(ISERROR(SEARCH("PASS",D11)))</formula>
    </cfRule>
  </conditionalFormatting>
  <conditionalFormatting sqref="D16">
    <cfRule type="containsText" dxfId="95" priority="246" operator="containsText" text="FAIL">
      <formula>NOT(ISERROR(SEARCH("FAIL",D16)))</formula>
    </cfRule>
    <cfRule type="containsText" dxfId="94" priority="247" operator="containsText" text="PASS">
      <formula>NOT(ISERROR(SEARCH("PASS",D16)))</formula>
    </cfRule>
  </conditionalFormatting>
  <conditionalFormatting sqref="D17">
    <cfRule type="containsText" dxfId="93" priority="226" operator="containsText" text="FAIL">
      <formula>NOT(ISERROR(SEARCH("FAIL",D17)))</formula>
    </cfRule>
    <cfRule type="containsText" dxfId="92" priority="227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0.3666666666666667</v>
      </c>
      <c r="I13" s="20" t="str">
        <f>IF(ISOVERMAX(L13:U13)=1,"INVALID MARK",IF(ISOVERMAX(L13:U13)=2,"INVALID ENTRY",IF(COUNT(L13:U13)&lt;COUNT(L$6:U$6),"MISSING MARK",(H13-J13)*K$6)))</f>
        <v>INVALID ENTRY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91" priority="263" operator="containsText" text="INVALID MARK">
      <formula>NOT(ISERROR(SEARCH("INVALID MARK",I7)))</formula>
    </cfRule>
    <cfRule type="containsText" dxfId="90" priority="264" operator="containsText" text="INVALID ENTRY">
      <formula>NOT(ISERROR(SEARCH("INVALID ENTRY",I7)))</formula>
    </cfRule>
    <cfRule type="containsText" dxfId="89" priority="265" operator="containsText" text="MISSING MARK">
      <formula>NOT(ISERROR(SEARCH("MISSING MARK",I7)))</formula>
    </cfRule>
  </conditionalFormatting>
  <conditionalFormatting sqref="D7">
    <cfRule type="containsText" dxfId="88" priority="261" operator="containsText" text="FAIL">
      <formula>NOT(ISERROR(SEARCH("FAIL",D7)))</formula>
    </cfRule>
    <cfRule type="containsText" dxfId="87" priority="262" operator="containsText" text="PASS">
      <formula>NOT(ISERROR(SEARCH("PASS",D7)))</formula>
    </cfRule>
  </conditionalFormatting>
  <conditionalFormatting sqref="D8:D10">
    <cfRule type="containsText" dxfId="86" priority="256" operator="containsText" text="FAIL">
      <formula>NOT(ISERROR(SEARCH("FAIL",D8)))</formula>
    </cfRule>
    <cfRule type="containsText" dxfId="85" priority="257" operator="containsText" text="PASS">
      <formula>NOT(ISERROR(SEARCH("PASS",D8)))</formula>
    </cfRule>
  </conditionalFormatting>
  <conditionalFormatting sqref="D11:D15">
    <cfRule type="containsText" dxfId="84" priority="251" operator="containsText" text="FAIL">
      <formula>NOT(ISERROR(SEARCH("FAIL",D11)))</formula>
    </cfRule>
    <cfRule type="containsText" dxfId="83" priority="252" operator="containsText" text="PASS">
      <formula>NOT(ISERROR(SEARCH("PASS",D11)))</formula>
    </cfRule>
  </conditionalFormatting>
  <conditionalFormatting sqref="D16">
    <cfRule type="containsText" dxfId="82" priority="246" operator="containsText" text="FAIL">
      <formula>NOT(ISERROR(SEARCH("FAIL",D16)))</formula>
    </cfRule>
    <cfRule type="containsText" dxfId="81" priority="247" operator="containsText" text="PASS">
      <formula>NOT(ISERROR(SEARCH("PASS",D16)))</formula>
    </cfRule>
  </conditionalFormatting>
  <conditionalFormatting sqref="D17">
    <cfRule type="containsText" dxfId="80" priority="226" operator="containsText" text="FAIL">
      <formula>NOT(ISERROR(SEARCH("FAIL",D17)))</formula>
    </cfRule>
    <cfRule type="containsText" dxfId="79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1.05</v>
      </c>
      <c r="I17" s="20">
        <f>IF(ISOVERMAX(L17:U17)=1,"INVALID MARK",IF(ISOVERMAX(L17:U17)=2,"INVALID ENTRY",IF(COUNT(L17:U17)&lt;COUNT(L$6:U$6),"MISSING MARK",(H17-J17)*K$6)))</f>
        <v>21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78" priority="263" operator="containsText" text="INVALID MARK">
      <formula>NOT(ISERROR(SEARCH("INVALID MARK",I7)))</formula>
    </cfRule>
    <cfRule type="containsText" dxfId="77" priority="264" operator="containsText" text="INVALID ENTRY">
      <formula>NOT(ISERROR(SEARCH("INVALID ENTRY",I7)))</formula>
    </cfRule>
    <cfRule type="containsText" dxfId="76" priority="265" operator="containsText" text="MISSING MARK">
      <formula>NOT(ISERROR(SEARCH("MISSING MARK",I7)))</formula>
    </cfRule>
  </conditionalFormatting>
  <conditionalFormatting sqref="D7">
    <cfRule type="containsText" dxfId="75" priority="261" operator="containsText" text="FAIL">
      <formula>NOT(ISERROR(SEARCH("FAIL",D7)))</formula>
    </cfRule>
    <cfRule type="containsText" dxfId="74" priority="262" operator="containsText" text="PASS">
      <formula>NOT(ISERROR(SEARCH("PASS",D7)))</formula>
    </cfRule>
  </conditionalFormatting>
  <conditionalFormatting sqref="D8:D10">
    <cfRule type="containsText" dxfId="73" priority="256" operator="containsText" text="FAIL">
      <formula>NOT(ISERROR(SEARCH("FAIL",D8)))</formula>
    </cfRule>
    <cfRule type="containsText" dxfId="72" priority="257" operator="containsText" text="PASS">
      <formula>NOT(ISERROR(SEARCH("PASS",D8)))</formula>
    </cfRule>
  </conditionalFormatting>
  <conditionalFormatting sqref="D11:D15">
    <cfRule type="containsText" dxfId="71" priority="251" operator="containsText" text="FAIL">
      <formula>NOT(ISERROR(SEARCH("FAIL",D11)))</formula>
    </cfRule>
    <cfRule type="containsText" dxfId="70" priority="252" operator="containsText" text="PASS">
      <formula>NOT(ISERROR(SEARCH("PASS",D11)))</formula>
    </cfRule>
  </conditionalFormatting>
  <conditionalFormatting sqref="D16">
    <cfRule type="containsText" dxfId="69" priority="246" operator="containsText" text="FAIL">
      <formula>NOT(ISERROR(SEARCH("FAIL",D16)))</formula>
    </cfRule>
    <cfRule type="containsText" dxfId="68" priority="247" operator="containsText" text="PASS">
      <formula>NOT(ISERROR(SEARCH("PASS",D16)))</formula>
    </cfRule>
  </conditionalFormatting>
  <conditionalFormatting sqref="D17">
    <cfRule type="containsText" dxfId="67" priority="226" operator="containsText" text="FAIL">
      <formula>NOT(ISERROR(SEARCH("FAIL",D17)))</formula>
    </cfRule>
    <cfRule type="containsText" dxfId="66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7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0.285156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</sheetData>
  <mergeCells count="1">
    <mergeCell ref="F4:G4"/>
  </mergeCells>
  <conditionalFormatting sqref="I7:I17">
    <cfRule type="containsText" dxfId="65" priority="263" operator="containsText" text="INVALID MARK">
      <formula>NOT(ISERROR(SEARCH("INVALID MARK",I7)))</formula>
    </cfRule>
    <cfRule type="containsText" dxfId="64" priority="264" operator="containsText" text="INVALID ENTRY">
      <formula>NOT(ISERROR(SEARCH("INVALID ENTRY",I7)))</formula>
    </cfRule>
    <cfRule type="containsText" dxfId="63" priority="265" operator="containsText" text="MISSING MARK">
      <formula>NOT(ISERROR(SEARCH("MISSING MARK",I7)))</formula>
    </cfRule>
  </conditionalFormatting>
  <conditionalFormatting sqref="D7">
    <cfRule type="containsText" dxfId="62" priority="261" operator="containsText" text="FAIL">
      <formula>NOT(ISERROR(SEARCH("FAIL",D7)))</formula>
    </cfRule>
    <cfRule type="containsText" dxfId="61" priority="262" operator="containsText" text="PASS">
      <formula>NOT(ISERROR(SEARCH("PASS",D7)))</formula>
    </cfRule>
  </conditionalFormatting>
  <conditionalFormatting sqref="D8:D10">
    <cfRule type="containsText" dxfId="60" priority="256" operator="containsText" text="FAIL">
      <formula>NOT(ISERROR(SEARCH("FAIL",D8)))</formula>
    </cfRule>
    <cfRule type="containsText" dxfId="59" priority="257" operator="containsText" text="PASS">
      <formula>NOT(ISERROR(SEARCH("PASS",D8)))</formula>
    </cfRule>
  </conditionalFormatting>
  <conditionalFormatting sqref="D11:D15">
    <cfRule type="containsText" dxfId="58" priority="251" operator="containsText" text="FAIL">
      <formula>NOT(ISERROR(SEARCH("FAIL",D11)))</formula>
    </cfRule>
    <cfRule type="containsText" dxfId="57" priority="252" operator="containsText" text="PASS">
      <formula>NOT(ISERROR(SEARCH("PASS",D11)))</formula>
    </cfRule>
  </conditionalFormatting>
  <conditionalFormatting sqref="D16">
    <cfRule type="containsText" dxfId="56" priority="246" operator="containsText" text="FAIL">
      <formula>NOT(ISERROR(SEARCH("FAIL",D16)))</formula>
    </cfRule>
    <cfRule type="containsText" dxfId="55" priority="247" operator="containsText" text="PASS">
      <formula>NOT(ISERROR(SEARCH("PASS",D16)))</formula>
    </cfRule>
  </conditionalFormatting>
  <conditionalFormatting sqref="D17">
    <cfRule type="containsText" dxfId="54" priority="226" operator="containsText" text="FAIL">
      <formula>NOT(ISERROR(SEARCH("FAIL",D17)))</formula>
    </cfRule>
    <cfRule type="containsText" dxfId="53" priority="227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A500"/>
  <sheetViews>
    <sheetView workbookViewId="0">
      <selection activeCell="Q15" sqref="Q15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5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FAIL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7" si="1">IF(K7/K$6-J7&gt;=0, K7/K$6-J7, 0)</f>
        <v>0</v>
      </c>
      <c r="I7" s="20" t="str">
        <f>IF(ISOVERMAX(L7:U7)=1,"INVALID MARK",IF(ISOVERMAX(L7:U7)=2,"INVALID ENTRY",IF(COUNT(L7:U7)&lt;COUNT(L$6:U$6),"MISSING MARK",(H7-J7)*K$6)))</f>
        <v>MISSING MARK</v>
      </c>
      <c r="J7" s="28">
        <v>0</v>
      </c>
      <c r="K7" s="24">
        <f t="shared" ref="K7:K10" si="2">SUM(L7:U7)</f>
        <v>0</v>
      </c>
      <c r="L7" s="9"/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7" si="3">IF(H8&gt;G$3, "PASS", "FAIL")</f>
        <v>FAIL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</v>
      </c>
      <c r="I8" s="20" t="str">
        <f>IF(ISOVERMAX(L8:U8)=1,"INVALID MARK",IF(ISOVERMAX(L8:U8)=2,"INVALID ENTRY",IF(COUNT(L8:U8)&lt;COUNT(L$6:U$6),"MISSING MARK",(H8-J8)*K$6)))</f>
        <v>MISSING MARK</v>
      </c>
      <c r="J8" s="28">
        <v>0</v>
      </c>
      <c r="K8" s="24">
        <f t="shared" si="2"/>
        <v>0</v>
      </c>
      <c r="L8" s="9"/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</v>
      </c>
      <c r="I9" s="20" t="str">
        <f>IF(ISOVERMAX(L9:U9)=1,"INVALID MARK",IF(ISOVERMAX(L9:U9)=2,"INVALID ENTRY",IF(COUNT(L9:U9)&lt;COUNT(L$6:U$6),"MISSING MARK",(H9-J9)*K$6)))</f>
        <v>MISSING MARK</v>
      </c>
      <c r="J9" s="28">
        <v>0</v>
      </c>
      <c r="K9" s="24">
        <f t="shared" si="2"/>
        <v>0</v>
      </c>
      <c r="L9" s="9"/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FAIL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</v>
      </c>
      <c r="I10" s="20" t="str">
        <f>IF(ISOVERMAX(L10:U10)=1,"INVALID MARK",IF(ISOVERMAX(L10:U10)=2,"INVALID ENTRY",IF(COUNT(L10:U10)&lt;COUNT(L$6:U$6),"MISSING MARK",(H10-J10)*K$6)))</f>
        <v>MISSING MARK</v>
      </c>
      <c r="J10" s="28">
        <v>0</v>
      </c>
      <c r="K10" s="24">
        <f t="shared" si="2"/>
        <v>0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si="3"/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1"/>
        <v>0</v>
      </c>
      <c r="I11" s="20" t="str">
        <f>IF(ISOVERMAX(L11:U11)=1,"INVALID MARK",IF(ISOVERMAX(L11:U11)=2,"INVALID ENTRY",IF(COUNT(L11:U11)&lt;COUNT(L$6:U$6),"MISSING MARK",(H11-J11)*K$6)))</f>
        <v>MISSING MARK</v>
      </c>
      <c r="J11" s="28">
        <v>0</v>
      </c>
      <c r="K11" s="24">
        <f t="shared" ref="K11:K15" si="4">SUM(L11:U11)</f>
        <v>0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3"/>
        <v>FAIL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1"/>
        <v>0</v>
      </c>
      <c r="I12" s="20" t="str">
        <f>IF(ISOVERMAX(L12:U12)=1,"INVALID MARK",IF(ISOVERMAX(L12:U12)=2,"INVALID ENTRY",IF(COUNT(L12:U12)&lt;COUNT(L$6:U$6),"MISSING MARK",(H12-J12)*K$6)))</f>
        <v>MISSING MARK</v>
      </c>
      <c r="J12" s="28">
        <v>0</v>
      </c>
      <c r="K12" s="24">
        <f t="shared" si="4"/>
        <v>0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3"/>
        <v>FAIL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1"/>
        <v>0</v>
      </c>
      <c r="I13" s="20" t="str">
        <f>IF(ISOVERMAX(L13:U13)=1,"INVALID MARK",IF(ISOVERMAX(L13:U13)=2,"INVALID ENTRY",IF(COUNT(L13:U13)&lt;COUNT(L$6:U$6),"MISSING MARK",(H13-J13)*K$6)))</f>
        <v>MISSING MARK</v>
      </c>
      <c r="J13" s="28">
        <v>0</v>
      </c>
      <c r="K13" s="24">
        <f t="shared" si="4"/>
        <v>0</v>
      </c>
      <c r="L13" s="9"/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3"/>
        <v>FAIL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1"/>
        <v>0</v>
      </c>
      <c r="I14" s="20" t="str">
        <f>IF(ISOVERMAX(L14:U14)=1,"INVALID MARK",IF(ISOVERMAX(L14:U14)=2,"INVALID ENTRY",IF(COUNT(L14:U14)&lt;COUNT(L$6:U$6),"MISSING MARK",(H14-J14)*K$6)))</f>
        <v>MISSING MARK</v>
      </c>
      <c r="J14" s="28">
        <v>0</v>
      </c>
      <c r="K14" s="24">
        <f t="shared" si="4"/>
        <v>0</v>
      </c>
      <c r="L14" s="9"/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3"/>
        <v>FAIL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1"/>
        <v>0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4"/>
        <v>0</v>
      </c>
      <c r="L15" s="9"/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si="3"/>
        <v>FAIL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1"/>
        <v>0</v>
      </c>
      <c r="I16" s="20" t="str">
        <f>IF(ISOVERMAX(L16:U16)=1,"INVALID MARK",IF(ISOVERMAX(L16:U16)=2,"INVALID ENTRY",IF(COUNT(L16:U16)&lt;COUNT(L$6:U$6),"MISSING MARK",(H16-J16)*K$6)))</f>
        <v>MISSING MARK</v>
      </c>
      <c r="J16" s="28">
        <v>0</v>
      </c>
      <c r="K16" s="24">
        <f t="shared" ref="K16:K17" si="5">SUM(L16:U16)</f>
        <v>0</v>
      </c>
      <c r="L16" s="9"/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si="3"/>
        <v>FAIL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si="1"/>
        <v>0</v>
      </c>
      <c r="I17" s="20" t="str">
        <f>IF(ISOVERMAX(L17:U17)=1,"INVALID MARK",IF(ISOVERMAX(L17:U17)=2,"INVALID ENTRY",IF(COUNT(L17:U17)&lt;COUNT(L$6:U$6),"MISSING MARK",(H17-J17)*K$6)))</f>
        <v>MISSING MARK</v>
      </c>
      <c r="J17" s="28">
        <v>0</v>
      </c>
      <c r="K17" s="24">
        <f t="shared" si="5"/>
        <v>0</v>
      </c>
      <c r="L17" s="9"/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  <row r="92" spans="1:53" x14ac:dyDescent="0.25">
      <c r="A92" s="5"/>
      <c r="B92" s="5"/>
      <c r="C92" s="5"/>
      <c r="D92" s="5"/>
      <c r="E92" s="5"/>
      <c r="F92" s="5"/>
      <c r="G92" s="5"/>
      <c r="H92" s="4"/>
      <c r="I92" s="19"/>
      <c r="J92" s="8"/>
      <c r="K92" s="17"/>
      <c r="L92" s="9"/>
      <c r="M92" s="9"/>
      <c r="N92" s="9"/>
      <c r="O92" s="9"/>
      <c r="P92" s="9"/>
      <c r="Q92" s="9"/>
      <c r="R92" s="9"/>
      <c r="S92" s="9"/>
      <c r="T92" s="9"/>
      <c r="U92" s="9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</row>
    <row r="93" spans="1:53" x14ac:dyDescent="0.25">
      <c r="A93" s="5"/>
      <c r="B93" s="5"/>
      <c r="C93" s="5"/>
      <c r="D93" s="5"/>
      <c r="E93" s="5"/>
      <c r="F93" s="5"/>
      <c r="G93" s="5"/>
      <c r="H93" s="4"/>
      <c r="I93" s="19"/>
      <c r="J93" s="8"/>
      <c r="K93" s="17"/>
      <c r="L93" s="9"/>
      <c r="M93" s="9"/>
      <c r="N93" s="9"/>
      <c r="O93" s="9"/>
      <c r="P93" s="9"/>
      <c r="Q93" s="9"/>
      <c r="R93" s="9"/>
      <c r="S93" s="9"/>
      <c r="T93" s="9"/>
      <c r="U93" s="9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</row>
    <row r="94" spans="1:53" x14ac:dyDescent="0.25">
      <c r="A94" s="5"/>
      <c r="B94" s="5"/>
      <c r="C94" s="5"/>
      <c r="D94" s="5"/>
      <c r="E94" s="5"/>
      <c r="F94" s="5"/>
      <c r="G94" s="5"/>
      <c r="H94" s="4"/>
      <c r="I94" s="19"/>
      <c r="J94" s="8"/>
      <c r="K94" s="17"/>
      <c r="L94" s="9"/>
      <c r="M94" s="9"/>
      <c r="N94" s="9"/>
      <c r="O94" s="9"/>
      <c r="P94" s="9"/>
      <c r="Q94" s="9"/>
      <c r="R94" s="9"/>
      <c r="S94" s="9"/>
      <c r="T94" s="9"/>
      <c r="U94" s="9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</row>
    <row r="95" spans="1:53" x14ac:dyDescent="0.25">
      <c r="A95" s="5"/>
      <c r="B95" s="5"/>
      <c r="C95" s="5"/>
      <c r="D95" s="5"/>
      <c r="E95" s="5"/>
      <c r="F95" s="5"/>
      <c r="G95" s="5"/>
      <c r="H95" s="4"/>
      <c r="I95" s="19"/>
      <c r="J95" s="8"/>
      <c r="K95" s="17"/>
      <c r="L95" s="9"/>
      <c r="M95" s="9"/>
      <c r="N95" s="9"/>
      <c r="O95" s="9"/>
      <c r="P95" s="9"/>
      <c r="Q95" s="9"/>
      <c r="R95" s="9"/>
      <c r="S95" s="9"/>
      <c r="T95" s="9"/>
      <c r="U95" s="9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</row>
    <row r="96" spans="1:53" x14ac:dyDescent="0.25">
      <c r="A96" s="5"/>
      <c r="B96" s="5"/>
      <c r="C96" s="5"/>
      <c r="D96" s="5"/>
      <c r="E96" s="5"/>
      <c r="F96" s="5"/>
      <c r="G96" s="5"/>
      <c r="H96" s="4"/>
      <c r="I96" s="19"/>
      <c r="J96" s="8"/>
      <c r="K96" s="17"/>
      <c r="L96" s="9"/>
      <c r="M96" s="9"/>
      <c r="N96" s="9"/>
      <c r="O96" s="9"/>
      <c r="P96" s="9"/>
      <c r="Q96" s="9"/>
      <c r="R96" s="9"/>
      <c r="S96" s="9"/>
      <c r="T96" s="9"/>
      <c r="U96" s="9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</row>
    <row r="97" spans="1:53" x14ac:dyDescent="0.25">
      <c r="A97" s="5"/>
      <c r="B97" s="5"/>
      <c r="C97" s="5"/>
      <c r="D97" s="5"/>
      <c r="E97" s="5"/>
      <c r="F97" s="5"/>
      <c r="G97" s="5"/>
      <c r="H97" s="4"/>
      <c r="I97" s="19"/>
      <c r="J97" s="8"/>
      <c r="K97" s="17"/>
      <c r="L97" s="9"/>
      <c r="M97" s="9"/>
      <c r="N97" s="9"/>
      <c r="O97" s="9"/>
      <c r="P97" s="9"/>
      <c r="Q97" s="9"/>
      <c r="R97" s="9"/>
      <c r="S97" s="9"/>
      <c r="T97" s="9"/>
      <c r="U97" s="9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</row>
    <row r="98" spans="1:53" x14ac:dyDescent="0.25">
      <c r="A98" s="5"/>
      <c r="B98" s="5"/>
      <c r="C98" s="5"/>
      <c r="D98" s="5"/>
      <c r="E98" s="5"/>
      <c r="F98" s="5"/>
      <c r="G98" s="5"/>
      <c r="H98" s="4"/>
      <c r="I98" s="19"/>
      <c r="J98" s="8"/>
      <c r="K98" s="17"/>
      <c r="L98" s="9"/>
      <c r="M98" s="9"/>
      <c r="N98" s="9"/>
      <c r="O98" s="9"/>
      <c r="P98" s="9"/>
      <c r="Q98" s="9"/>
      <c r="R98" s="9"/>
      <c r="S98" s="9"/>
      <c r="T98" s="9"/>
      <c r="U98" s="9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</row>
    <row r="99" spans="1:53" x14ac:dyDescent="0.25">
      <c r="A99" s="5"/>
      <c r="B99" s="5"/>
      <c r="C99" s="5"/>
      <c r="D99" s="5"/>
      <c r="E99" s="5"/>
      <c r="F99" s="5"/>
      <c r="G99" s="5"/>
      <c r="H99" s="4"/>
      <c r="I99" s="19"/>
      <c r="J99" s="8"/>
      <c r="K99" s="17"/>
      <c r="L99" s="9"/>
      <c r="M99" s="9"/>
      <c r="N99" s="9"/>
      <c r="O99" s="9"/>
      <c r="P99" s="9"/>
      <c r="Q99" s="9"/>
      <c r="R99" s="9"/>
      <c r="S99" s="9"/>
      <c r="T99" s="9"/>
      <c r="U99" s="9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</row>
    <row r="100" spans="1:53" x14ac:dyDescent="0.25">
      <c r="A100" s="5"/>
      <c r="B100" s="5"/>
      <c r="C100" s="5"/>
      <c r="D100" s="5"/>
      <c r="E100" s="5"/>
      <c r="F100" s="5"/>
      <c r="G100" s="5"/>
      <c r="H100" s="4"/>
      <c r="I100" s="19"/>
      <c r="J100" s="8"/>
      <c r="K100" s="17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</row>
    <row r="101" spans="1:53" x14ac:dyDescent="0.25">
      <c r="A101" s="5"/>
      <c r="B101" s="5"/>
      <c r="C101" s="5"/>
      <c r="D101" s="5"/>
      <c r="E101" s="5"/>
      <c r="F101" s="5"/>
      <c r="G101" s="5"/>
      <c r="H101" s="4"/>
      <c r="I101" s="19"/>
      <c r="J101" s="8"/>
      <c r="K101" s="17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</row>
    <row r="102" spans="1:53" x14ac:dyDescent="0.25">
      <c r="A102" s="5"/>
      <c r="B102" s="5"/>
      <c r="C102" s="5"/>
      <c r="D102" s="5"/>
      <c r="E102" s="5"/>
      <c r="F102" s="5"/>
      <c r="G102" s="5"/>
      <c r="H102" s="4"/>
      <c r="I102" s="19"/>
      <c r="J102" s="8"/>
      <c r="K102" s="17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</row>
    <row r="103" spans="1:53" x14ac:dyDescent="0.25">
      <c r="A103" s="5"/>
      <c r="B103" s="5"/>
      <c r="C103" s="5"/>
      <c r="D103" s="5"/>
      <c r="E103" s="5"/>
      <c r="F103" s="5"/>
      <c r="G103" s="5"/>
      <c r="H103" s="4"/>
      <c r="I103" s="19"/>
      <c r="J103" s="8"/>
      <c r="K103" s="17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</row>
    <row r="104" spans="1:53" x14ac:dyDescent="0.25">
      <c r="A104" s="5"/>
      <c r="B104" s="5"/>
      <c r="C104" s="5"/>
      <c r="D104" s="5"/>
      <c r="E104" s="5"/>
      <c r="F104" s="5"/>
      <c r="G104" s="5"/>
      <c r="H104" s="4"/>
      <c r="I104" s="19"/>
      <c r="J104" s="8"/>
      <c r="K104" s="17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</row>
    <row r="105" spans="1:53" x14ac:dyDescent="0.25">
      <c r="A105" s="5"/>
      <c r="B105" s="5"/>
      <c r="C105" s="5"/>
      <c r="D105" s="5"/>
      <c r="E105" s="5"/>
      <c r="F105" s="5"/>
      <c r="G105" s="5"/>
      <c r="H105" s="4"/>
      <c r="I105" s="19"/>
      <c r="J105" s="8"/>
      <c r="K105" s="17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</row>
    <row r="106" spans="1:53" x14ac:dyDescent="0.25">
      <c r="A106" s="5"/>
      <c r="B106" s="5"/>
      <c r="C106" s="5"/>
      <c r="D106" s="5"/>
      <c r="E106" s="5"/>
      <c r="F106" s="5"/>
      <c r="G106" s="5"/>
      <c r="H106" s="4"/>
      <c r="I106" s="19"/>
      <c r="J106" s="8"/>
      <c r="K106" s="17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</row>
    <row r="107" spans="1:53" x14ac:dyDescent="0.25">
      <c r="A107" s="5"/>
      <c r="B107" s="5"/>
      <c r="C107" s="5"/>
      <c r="D107" s="5"/>
      <c r="E107" s="5"/>
      <c r="F107" s="5"/>
      <c r="G107" s="5"/>
      <c r="H107" s="4"/>
      <c r="I107" s="19"/>
      <c r="J107" s="8"/>
      <c r="K107" s="17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</row>
    <row r="108" spans="1:53" x14ac:dyDescent="0.25">
      <c r="A108" s="5"/>
      <c r="B108" s="5"/>
      <c r="C108" s="5"/>
      <c r="D108" s="5"/>
      <c r="E108" s="5"/>
      <c r="F108" s="5"/>
      <c r="G108" s="5"/>
      <c r="H108" s="4"/>
      <c r="I108" s="19"/>
      <c r="J108" s="8"/>
      <c r="K108" s="17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</row>
    <row r="109" spans="1:53" x14ac:dyDescent="0.25">
      <c r="A109" s="5"/>
      <c r="B109" s="5"/>
      <c r="C109" s="5"/>
      <c r="D109" s="5"/>
      <c r="E109" s="5"/>
      <c r="F109" s="5"/>
      <c r="G109" s="5"/>
      <c r="H109" s="4"/>
      <c r="I109" s="19"/>
      <c r="J109" s="8"/>
      <c r="K109" s="17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</row>
    <row r="110" spans="1:53" x14ac:dyDescent="0.25">
      <c r="A110" s="5"/>
      <c r="B110" s="5"/>
      <c r="C110" s="5"/>
      <c r="D110" s="5"/>
      <c r="E110" s="5"/>
      <c r="F110" s="5"/>
      <c r="G110" s="5"/>
      <c r="H110" s="4"/>
      <c r="I110" s="19"/>
      <c r="J110" s="8"/>
      <c r="K110" s="17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</row>
    <row r="111" spans="1:53" x14ac:dyDescent="0.25">
      <c r="A111" s="5"/>
      <c r="B111" s="5"/>
      <c r="C111" s="5"/>
      <c r="D111" s="5"/>
      <c r="E111" s="5"/>
      <c r="F111" s="5"/>
      <c r="G111" s="5"/>
      <c r="H111" s="4"/>
      <c r="I111" s="19"/>
      <c r="J111" s="8"/>
      <c r="K111" s="17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</row>
    <row r="112" spans="1:53" x14ac:dyDescent="0.25">
      <c r="A112" s="5"/>
      <c r="B112" s="5"/>
      <c r="C112" s="5"/>
      <c r="D112" s="5"/>
      <c r="E112" s="5"/>
      <c r="F112" s="5"/>
      <c r="G112" s="5"/>
      <c r="H112" s="4"/>
      <c r="I112" s="19"/>
      <c r="J112" s="8"/>
      <c r="K112" s="17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</row>
    <row r="113" spans="1:53" x14ac:dyDescent="0.25">
      <c r="A113" s="5"/>
      <c r="B113" s="5"/>
      <c r="C113" s="5"/>
      <c r="D113" s="5"/>
      <c r="E113" s="5"/>
      <c r="F113" s="5"/>
      <c r="G113" s="5"/>
      <c r="H113" s="4"/>
      <c r="I113" s="19"/>
      <c r="J113" s="8"/>
      <c r="K113" s="17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</row>
    <row r="114" spans="1:53" x14ac:dyDescent="0.25">
      <c r="A114" s="5"/>
      <c r="B114" s="5"/>
      <c r="C114" s="5"/>
      <c r="D114" s="5"/>
      <c r="E114" s="5"/>
      <c r="F114" s="5"/>
      <c r="G114" s="5"/>
      <c r="H114" s="4"/>
      <c r="I114" s="19"/>
      <c r="J114" s="8"/>
      <c r="K114" s="17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</row>
    <row r="115" spans="1:53" x14ac:dyDescent="0.25">
      <c r="A115" s="5"/>
      <c r="B115" s="5"/>
      <c r="C115" s="5"/>
      <c r="D115" s="5"/>
      <c r="E115" s="5"/>
      <c r="F115" s="5"/>
      <c r="G115" s="5"/>
      <c r="H115" s="4"/>
      <c r="I115" s="19"/>
      <c r="J115" s="8"/>
      <c r="K115" s="17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</row>
    <row r="116" spans="1:53" x14ac:dyDescent="0.25">
      <c r="A116" s="5"/>
      <c r="B116" s="5"/>
      <c r="C116" s="5"/>
      <c r="D116" s="5"/>
      <c r="E116" s="5"/>
      <c r="F116" s="5"/>
      <c r="G116" s="5"/>
      <c r="H116" s="4"/>
      <c r="I116" s="19"/>
      <c r="J116" s="8"/>
      <c r="K116" s="17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</row>
    <row r="117" spans="1:53" x14ac:dyDescent="0.25">
      <c r="A117" s="5"/>
      <c r="B117" s="5"/>
      <c r="C117" s="5"/>
      <c r="D117" s="5"/>
      <c r="E117" s="5"/>
      <c r="F117" s="5"/>
      <c r="G117" s="5"/>
      <c r="H117" s="4"/>
      <c r="I117" s="19"/>
      <c r="J117" s="8"/>
      <c r="K117" s="17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</row>
    <row r="118" spans="1:53" x14ac:dyDescent="0.25">
      <c r="A118" s="5"/>
      <c r="B118" s="5"/>
      <c r="C118" s="5"/>
      <c r="D118" s="5"/>
      <c r="E118" s="5"/>
      <c r="F118" s="5"/>
      <c r="G118" s="5"/>
      <c r="H118" s="4"/>
      <c r="I118" s="19"/>
      <c r="J118" s="8"/>
      <c r="K118" s="17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</row>
    <row r="119" spans="1:53" x14ac:dyDescent="0.25">
      <c r="A119" s="5"/>
      <c r="B119" s="5"/>
      <c r="C119" s="5"/>
      <c r="D119" s="5"/>
      <c r="E119" s="5"/>
      <c r="F119" s="5"/>
      <c r="G119" s="5"/>
      <c r="H119" s="4"/>
      <c r="I119" s="19"/>
      <c r="J119" s="8"/>
      <c r="K119" s="17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</row>
    <row r="120" spans="1:53" x14ac:dyDescent="0.25">
      <c r="A120" s="5"/>
      <c r="B120" s="5"/>
      <c r="C120" s="5"/>
      <c r="D120" s="5"/>
      <c r="E120" s="5"/>
      <c r="F120" s="5"/>
      <c r="G120" s="5"/>
      <c r="H120" s="4"/>
      <c r="I120" s="19"/>
      <c r="J120" s="8"/>
      <c r="K120" s="17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</row>
    <row r="121" spans="1:53" x14ac:dyDescent="0.25">
      <c r="A121" s="5"/>
      <c r="B121" s="5"/>
      <c r="C121" s="5"/>
      <c r="D121" s="5"/>
      <c r="E121" s="5"/>
      <c r="F121" s="5"/>
      <c r="G121" s="5"/>
      <c r="H121" s="4"/>
      <c r="I121" s="19"/>
      <c r="J121" s="8"/>
      <c r="K121" s="17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</row>
    <row r="122" spans="1:53" x14ac:dyDescent="0.25">
      <c r="A122" s="5"/>
      <c r="B122" s="5"/>
      <c r="C122" s="5"/>
      <c r="D122" s="5"/>
      <c r="E122" s="5"/>
      <c r="F122" s="5"/>
      <c r="G122" s="5"/>
      <c r="H122" s="4"/>
      <c r="I122" s="19"/>
      <c r="J122" s="8"/>
      <c r="K122" s="17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</row>
    <row r="123" spans="1:53" x14ac:dyDescent="0.25">
      <c r="A123" s="5"/>
      <c r="B123" s="5"/>
      <c r="C123" s="5"/>
      <c r="D123" s="5"/>
      <c r="E123" s="5"/>
      <c r="F123" s="5"/>
      <c r="G123" s="5"/>
      <c r="H123" s="4"/>
      <c r="I123" s="19"/>
      <c r="J123" s="8"/>
      <c r="K123" s="17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</row>
    <row r="124" spans="1:53" x14ac:dyDescent="0.25">
      <c r="A124" s="5"/>
      <c r="B124" s="5"/>
      <c r="C124" s="5"/>
      <c r="D124" s="5"/>
      <c r="E124" s="5"/>
      <c r="F124" s="5"/>
      <c r="G124" s="5"/>
      <c r="H124" s="4"/>
      <c r="I124" s="19"/>
      <c r="J124" s="8"/>
      <c r="K124" s="17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</row>
    <row r="125" spans="1:53" x14ac:dyDescent="0.25">
      <c r="A125" s="5"/>
      <c r="B125" s="5"/>
      <c r="C125" s="5"/>
      <c r="D125" s="5"/>
      <c r="E125" s="5"/>
      <c r="F125" s="5"/>
      <c r="G125" s="5"/>
      <c r="H125" s="4"/>
      <c r="I125" s="19"/>
      <c r="J125" s="8"/>
      <c r="K125" s="17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</row>
    <row r="126" spans="1:53" x14ac:dyDescent="0.25">
      <c r="A126" s="5"/>
      <c r="B126" s="5"/>
      <c r="C126" s="5"/>
      <c r="D126" s="5"/>
      <c r="E126" s="5"/>
      <c r="F126" s="5"/>
      <c r="G126" s="5"/>
      <c r="H126" s="4"/>
      <c r="I126" s="19"/>
      <c r="J126" s="8"/>
      <c r="K126" s="17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</row>
    <row r="127" spans="1:53" x14ac:dyDescent="0.25">
      <c r="A127" s="5"/>
      <c r="B127" s="5"/>
      <c r="C127" s="5"/>
      <c r="D127" s="5"/>
      <c r="E127" s="5"/>
      <c r="F127" s="5"/>
      <c r="G127" s="5"/>
      <c r="H127" s="4"/>
      <c r="I127" s="19"/>
      <c r="J127" s="8"/>
      <c r="K127" s="17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</row>
    <row r="128" spans="1:53" x14ac:dyDescent="0.25">
      <c r="A128" s="5"/>
      <c r="B128" s="5"/>
      <c r="C128" s="5"/>
      <c r="D128" s="5"/>
      <c r="E128" s="5"/>
      <c r="F128" s="5"/>
      <c r="G128" s="5"/>
      <c r="H128" s="4"/>
      <c r="I128" s="19"/>
      <c r="J128" s="8"/>
      <c r="K128" s="17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</row>
    <row r="129" spans="1:53" x14ac:dyDescent="0.25">
      <c r="A129" s="5"/>
      <c r="B129" s="5"/>
      <c r="C129" s="5"/>
      <c r="D129" s="5"/>
      <c r="E129" s="5"/>
      <c r="F129" s="5"/>
      <c r="G129" s="5"/>
      <c r="H129" s="4"/>
      <c r="I129" s="19"/>
      <c r="J129" s="8"/>
      <c r="K129" s="17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</row>
    <row r="130" spans="1:53" x14ac:dyDescent="0.25">
      <c r="A130" s="5"/>
      <c r="B130" s="5"/>
      <c r="C130" s="5"/>
      <c r="D130" s="5"/>
      <c r="E130" s="5"/>
      <c r="F130" s="5"/>
      <c r="G130" s="5"/>
      <c r="H130" s="4"/>
      <c r="I130" s="19"/>
      <c r="J130" s="8"/>
      <c r="K130" s="17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</row>
    <row r="131" spans="1:53" x14ac:dyDescent="0.25">
      <c r="A131" s="5"/>
      <c r="B131" s="5"/>
      <c r="C131" s="5"/>
      <c r="D131" s="5"/>
      <c r="E131" s="5"/>
      <c r="F131" s="5"/>
      <c r="G131" s="5"/>
      <c r="H131" s="4"/>
      <c r="I131" s="19"/>
      <c r="J131" s="8"/>
      <c r="K131" s="17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</row>
    <row r="132" spans="1:53" x14ac:dyDescent="0.25">
      <c r="A132" s="5"/>
      <c r="B132" s="5"/>
      <c r="C132" s="5"/>
      <c r="D132" s="5"/>
      <c r="E132" s="5"/>
      <c r="F132" s="5"/>
      <c r="G132" s="5"/>
      <c r="H132" s="4"/>
      <c r="I132" s="19"/>
      <c r="J132" s="8"/>
      <c r="K132" s="17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</row>
    <row r="133" spans="1:53" x14ac:dyDescent="0.25">
      <c r="A133" s="5"/>
      <c r="B133" s="5"/>
      <c r="C133" s="5"/>
      <c r="D133" s="5"/>
      <c r="E133" s="5"/>
      <c r="F133" s="5"/>
      <c r="G133" s="5"/>
      <c r="H133" s="4"/>
      <c r="I133" s="19"/>
      <c r="J133" s="8"/>
      <c r="K133" s="17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</row>
    <row r="134" spans="1:53" x14ac:dyDescent="0.25">
      <c r="A134" s="5"/>
      <c r="B134" s="5"/>
      <c r="C134" s="5"/>
      <c r="D134" s="5"/>
      <c r="E134" s="5"/>
      <c r="F134" s="5"/>
      <c r="G134" s="5"/>
      <c r="H134" s="4"/>
      <c r="I134" s="19"/>
      <c r="J134" s="8"/>
      <c r="K134" s="17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</row>
    <row r="135" spans="1:53" x14ac:dyDescent="0.25">
      <c r="A135" s="5"/>
      <c r="B135" s="5"/>
      <c r="C135" s="5"/>
      <c r="D135" s="5"/>
      <c r="E135" s="5"/>
      <c r="F135" s="5"/>
      <c r="G135" s="5"/>
      <c r="H135" s="4"/>
      <c r="I135" s="19"/>
      <c r="J135" s="8"/>
      <c r="K135" s="17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</row>
    <row r="136" spans="1:53" x14ac:dyDescent="0.25">
      <c r="A136" s="5"/>
      <c r="B136" s="5"/>
      <c r="C136" s="5"/>
      <c r="D136" s="5"/>
      <c r="E136" s="5"/>
      <c r="F136" s="5"/>
      <c r="G136" s="5"/>
      <c r="H136" s="4"/>
      <c r="I136" s="19"/>
      <c r="J136" s="8"/>
      <c r="K136" s="17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</row>
    <row r="137" spans="1:53" x14ac:dyDescent="0.25">
      <c r="A137" s="5"/>
      <c r="B137" s="5"/>
      <c r="C137" s="5"/>
      <c r="D137" s="5"/>
      <c r="E137" s="5"/>
      <c r="F137" s="5"/>
      <c r="G137" s="5"/>
      <c r="H137" s="4"/>
      <c r="I137" s="19"/>
      <c r="J137" s="8"/>
      <c r="K137" s="17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</row>
    <row r="138" spans="1:53" x14ac:dyDescent="0.25">
      <c r="A138" s="5"/>
      <c r="B138" s="5"/>
      <c r="C138" s="5"/>
      <c r="D138" s="5"/>
      <c r="E138" s="5"/>
      <c r="F138" s="5"/>
      <c r="G138" s="5"/>
      <c r="H138" s="4"/>
      <c r="I138" s="19"/>
      <c r="J138" s="8"/>
      <c r="K138" s="17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</row>
    <row r="139" spans="1:53" x14ac:dyDescent="0.25">
      <c r="A139" s="5"/>
      <c r="B139" s="5"/>
      <c r="C139" s="5"/>
      <c r="D139" s="5"/>
      <c r="E139" s="5"/>
      <c r="F139" s="5"/>
      <c r="G139" s="5"/>
      <c r="H139" s="4"/>
      <c r="I139" s="19"/>
      <c r="J139" s="8"/>
      <c r="K139" s="17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</row>
    <row r="140" spans="1:53" x14ac:dyDescent="0.25">
      <c r="A140" s="5"/>
      <c r="B140" s="5"/>
      <c r="C140" s="5"/>
      <c r="D140" s="5"/>
      <c r="E140" s="5"/>
      <c r="F140" s="5"/>
      <c r="G140" s="5"/>
      <c r="H140" s="4"/>
      <c r="I140" s="19"/>
      <c r="J140" s="8"/>
      <c r="K140" s="17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</row>
    <row r="141" spans="1:53" x14ac:dyDescent="0.25">
      <c r="A141" s="5"/>
      <c r="B141" s="5"/>
      <c r="C141" s="5"/>
      <c r="D141" s="5"/>
      <c r="E141" s="5"/>
      <c r="F141" s="5"/>
      <c r="G141" s="5"/>
      <c r="H141" s="4"/>
      <c r="I141" s="19"/>
      <c r="J141" s="8"/>
      <c r="K141" s="17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</row>
    <row r="142" spans="1:53" x14ac:dyDescent="0.25">
      <c r="A142" s="5"/>
      <c r="B142" s="5"/>
      <c r="C142" s="5"/>
      <c r="D142" s="5"/>
      <c r="E142" s="5"/>
      <c r="F142" s="5"/>
      <c r="G142" s="5"/>
      <c r="H142" s="4"/>
      <c r="I142" s="19"/>
      <c r="J142" s="8"/>
      <c r="K142" s="17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</row>
    <row r="143" spans="1:53" x14ac:dyDescent="0.25">
      <c r="A143" s="5"/>
      <c r="B143" s="5"/>
      <c r="C143" s="5"/>
      <c r="D143" s="5"/>
      <c r="E143" s="5"/>
      <c r="F143" s="5"/>
      <c r="G143" s="5"/>
      <c r="H143" s="4"/>
      <c r="I143" s="19"/>
      <c r="J143" s="8"/>
      <c r="K143" s="17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</row>
    <row r="144" spans="1:53" x14ac:dyDescent="0.25">
      <c r="A144" s="5"/>
      <c r="B144" s="5"/>
      <c r="C144" s="5"/>
      <c r="D144" s="5"/>
      <c r="E144" s="5"/>
      <c r="F144" s="5"/>
      <c r="G144" s="5"/>
      <c r="H144" s="4"/>
      <c r="I144" s="19"/>
      <c r="J144" s="8"/>
      <c r="K144" s="17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</row>
    <row r="145" spans="1:53" x14ac:dyDescent="0.25">
      <c r="A145" s="5"/>
      <c r="B145" s="5"/>
      <c r="C145" s="5"/>
      <c r="D145" s="5"/>
      <c r="E145" s="5"/>
      <c r="F145" s="5"/>
      <c r="G145" s="5"/>
      <c r="H145" s="4"/>
      <c r="I145" s="19"/>
      <c r="J145" s="8"/>
      <c r="K145" s="17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</row>
    <row r="146" spans="1:53" x14ac:dyDescent="0.25">
      <c r="A146" s="5"/>
      <c r="B146" s="5"/>
      <c r="C146" s="5"/>
      <c r="D146" s="5"/>
      <c r="E146" s="5"/>
      <c r="F146" s="5"/>
      <c r="G146" s="5"/>
      <c r="H146" s="4"/>
      <c r="I146" s="19"/>
      <c r="J146" s="8"/>
      <c r="K146" s="17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</row>
    <row r="147" spans="1:53" x14ac:dyDescent="0.25">
      <c r="A147" s="5"/>
      <c r="B147" s="5"/>
      <c r="C147" s="5"/>
      <c r="D147" s="5"/>
      <c r="E147" s="5"/>
      <c r="F147" s="5"/>
      <c r="G147" s="5"/>
      <c r="H147" s="4"/>
      <c r="I147" s="19"/>
      <c r="J147" s="8"/>
      <c r="K147" s="17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</row>
    <row r="148" spans="1:53" x14ac:dyDescent="0.25">
      <c r="A148" s="5"/>
      <c r="B148" s="5"/>
      <c r="C148" s="5"/>
      <c r="D148" s="5"/>
      <c r="E148" s="5"/>
      <c r="F148" s="5"/>
      <c r="G148" s="5"/>
      <c r="H148" s="4"/>
      <c r="I148" s="19"/>
      <c r="J148" s="8"/>
      <c r="K148" s="17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</row>
    <row r="149" spans="1:53" x14ac:dyDescent="0.25">
      <c r="A149" s="5"/>
      <c r="B149" s="5"/>
      <c r="C149" s="5"/>
      <c r="D149" s="5"/>
      <c r="E149" s="5"/>
      <c r="F149" s="5"/>
      <c r="G149" s="5"/>
      <c r="H149" s="4"/>
      <c r="I149" s="19"/>
      <c r="J149" s="8"/>
      <c r="K149" s="17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</row>
    <row r="150" spans="1:53" x14ac:dyDescent="0.25">
      <c r="A150" s="5"/>
      <c r="B150" s="5"/>
      <c r="C150" s="5"/>
      <c r="D150" s="5"/>
      <c r="E150" s="5"/>
      <c r="F150" s="5"/>
      <c r="G150" s="5"/>
      <c r="H150" s="4"/>
      <c r="I150" s="19"/>
      <c r="J150" s="8"/>
      <c r="K150" s="17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</row>
    <row r="151" spans="1:53" x14ac:dyDescent="0.25">
      <c r="A151" s="5"/>
      <c r="B151" s="5"/>
      <c r="C151" s="5"/>
      <c r="D151" s="5"/>
      <c r="E151" s="5"/>
      <c r="F151" s="5"/>
      <c r="G151" s="5"/>
      <c r="H151" s="4"/>
      <c r="I151" s="19"/>
      <c r="J151" s="8"/>
      <c r="K151" s="17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</row>
    <row r="152" spans="1:53" x14ac:dyDescent="0.25">
      <c r="A152" s="5"/>
      <c r="B152" s="5"/>
      <c r="C152" s="5"/>
      <c r="D152" s="5"/>
      <c r="E152" s="5"/>
      <c r="F152" s="5"/>
      <c r="G152" s="5"/>
      <c r="H152" s="4"/>
      <c r="I152" s="19"/>
      <c r="J152" s="8"/>
      <c r="K152" s="17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</row>
    <row r="153" spans="1:53" x14ac:dyDescent="0.25">
      <c r="A153" s="5"/>
      <c r="B153" s="5"/>
      <c r="C153" s="5"/>
      <c r="D153" s="5"/>
      <c r="E153" s="5"/>
      <c r="F153" s="5"/>
      <c r="G153" s="5"/>
      <c r="H153" s="4"/>
      <c r="I153" s="19"/>
      <c r="J153" s="8"/>
      <c r="K153" s="17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</row>
    <row r="154" spans="1:53" x14ac:dyDescent="0.25">
      <c r="A154" s="5"/>
      <c r="B154" s="5"/>
      <c r="C154" s="5"/>
      <c r="D154" s="5"/>
      <c r="E154" s="5"/>
      <c r="F154" s="5"/>
      <c r="G154" s="5"/>
      <c r="H154" s="4"/>
      <c r="I154" s="19"/>
      <c r="J154" s="8"/>
      <c r="K154" s="17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</row>
    <row r="155" spans="1:53" x14ac:dyDescent="0.25">
      <c r="A155" s="5"/>
      <c r="B155" s="5"/>
      <c r="C155" s="5"/>
      <c r="D155" s="5"/>
      <c r="E155" s="5"/>
      <c r="F155" s="5"/>
      <c r="G155" s="5"/>
      <c r="H155" s="4"/>
      <c r="I155" s="19"/>
      <c r="J155" s="8"/>
      <c r="K155" s="17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</row>
    <row r="156" spans="1:53" x14ac:dyDescent="0.25">
      <c r="A156" s="5"/>
      <c r="B156" s="5"/>
      <c r="C156" s="5"/>
      <c r="D156" s="5"/>
      <c r="E156" s="5"/>
      <c r="F156" s="5"/>
      <c r="G156" s="5"/>
      <c r="H156" s="4"/>
      <c r="I156" s="19"/>
      <c r="J156" s="8"/>
      <c r="K156" s="17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</row>
    <row r="157" spans="1:53" x14ac:dyDescent="0.25">
      <c r="A157" s="5"/>
      <c r="B157" s="5"/>
      <c r="C157" s="5"/>
      <c r="D157" s="5"/>
      <c r="E157" s="5"/>
      <c r="F157" s="5"/>
      <c r="G157" s="5"/>
      <c r="H157" s="4"/>
      <c r="I157" s="19"/>
      <c r="J157" s="8"/>
      <c r="K157" s="17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</row>
    <row r="158" spans="1:53" x14ac:dyDescent="0.25">
      <c r="A158" s="5"/>
      <c r="B158" s="5"/>
      <c r="C158" s="5"/>
      <c r="D158" s="5"/>
      <c r="E158" s="5"/>
      <c r="F158" s="5"/>
      <c r="G158" s="5"/>
      <c r="H158" s="4"/>
      <c r="I158" s="19"/>
      <c r="J158" s="8"/>
      <c r="K158" s="17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</row>
    <row r="159" spans="1:53" x14ac:dyDescent="0.25">
      <c r="A159" s="5"/>
      <c r="B159" s="5"/>
      <c r="C159" s="5"/>
      <c r="D159" s="5"/>
      <c r="E159" s="5"/>
      <c r="F159" s="5"/>
      <c r="G159" s="5"/>
      <c r="H159" s="4"/>
      <c r="I159" s="19"/>
      <c r="J159" s="8"/>
      <c r="K159" s="17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</row>
    <row r="160" spans="1:53" x14ac:dyDescent="0.25">
      <c r="A160" s="5"/>
      <c r="B160" s="5"/>
      <c r="C160" s="5"/>
      <c r="D160" s="5"/>
      <c r="E160" s="5"/>
      <c r="F160" s="5"/>
      <c r="G160" s="5"/>
      <c r="H160" s="4"/>
      <c r="I160" s="19"/>
      <c r="J160" s="8"/>
      <c r="K160" s="17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</row>
    <row r="161" spans="1:53" x14ac:dyDescent="0.25">
      <c r="A161" s="5"/>
      <c r="B161" s="5"/>
      <c r="C161" s="5"/>
      <c r="D161" s="5"/>
      <c r="E161" s="5"/>
      <c r="F161" s="5"/>
      <c r="G161" s="5"/>
      <c r="H161" s="4"/>
      <c r="I161" s="19"/>
      <c r="J161" s="8"/>
      <c r="K161" s="17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</row>
    <row r="162" spans="1:53" x14ac:dyDescent="0.25">
      <c r="A162" s="5"/>
      <c r="B162" s="5"/>
      <c r="C162" s="5"/>
      <c r="D162" s="5"/>
      <c r="E162" s="5"/>
      <c r="F162" s="5"/>
      <c r="G162" s="5"/>
      <c r="H162" s="4"/>
      <c r="I162" s="19"/>
      <c r="J162" s="8"/>
      <c r="K162" s="17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</row>
    <row r="163" spans="1:53" x14ac:dyDescent="0.25">
      <c r="A163" s="5"/>
      <c r="B163" s="5"/>
      <c r="C163" s="5"/>
      <c r="D163" s="5"/>
      <c r="E163" s="5"/>
      <c r="F163" s="5"/>
      <c r="G163" s="5"/>
      <c r="H163" s="4"/>
      <c r="I163" s="19"/>
      <c r="J163" s="8"/>
      <c r="K163" s="17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</row>
    <row r="164" spans="1:53" x14ac:dyDescent="0.25">
      <c r="A164" s="5"/>
      <c r="B164" s="5"/>
      <c r="C164" s="5"/>
      <c r="D164" s="5"/>
      <c r="E164" s="5"/>
      <c r="F164" s="5"/>
      <c r="G164" s="5"/>
      <c r="H164" s="4"/>
      <c r="I164" s="19"/>
      <c r="J164" s="8"/>
      <c r="K164" s="17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</row>
    <row r="165" spans="1:53" x14ac:dyDescent="0.25">
      <c r="A165" s="5"/>
      <c r="B165" s="5"/>
      <c r="C165" s="5"/>
      <c r="D165" s="5"/>
      <c r="E165" s="5"/>
      <c r="F165" s="5"/>
      <c r="G165" s="5"/>
      <c r="H165" s="4"/>
      <c r="I165" s="19"/>
      <c r="J165" s="8"/>
      <c r="K165" s="17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</row>
    <row r="166" spans="1:53" x14ac:dyDescent="0.25">
      <c r="A166" s="5"/>
      <c r="B166" s="5"/>
      <c r="C166" s="5"/>
      <c r="D166" s="5"/>
      <c r="E166" s="5"/>
      <c r="F166" s="5"/>
      <c r="G166" s="5"/>
      <c r="H166" s="4"/>
      <c r="I166" s="19"/>
      <c r="J166" s="8"/>
      <c r="K166" s="17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</row>
    <row r="167" spans="1:53" x14ac:dyDescent="0.25">
      <c r="A167" s="5"/>
      <c r="B167" s="5"/>
      <c r="C167" s="5"/>
      <c r="D167" s="5"/>
      <c r="E167" s="5"/>
      <c r="F167" s="5"/>
      <c r="G167" s="5"/>
      <c r="H167" s="4"/>
      <c r="I167" s="19"/>
      <c r="J167" s="8"/>
      <c r="K167" s="17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</row>
    <row r="168" spans="1:53" x14ac:dyDescent="0.25">
      <c r="A168" s="5"/>
      <c r="B168" s="5"/>
      <c r="C168" s="5"/>
      <c r="D168" s="5"/>
      <c r="E168" s="5"/>
      <c r="F168" s="5"/>
      <c r="G168" s="5"/>
      <c r="H168" s="4"/>
      <c r="I168" s="19"/>
      <c r="J168" s="8"/>
      <c r="K168" s="17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</row>
    <row r="169" spans="1:53" x14ac:dyDescent="0.25">
      <c r="A169" s="5"/>
      <c r="B169" s="5"/>
      <c r="C169" s="5"/>
      <c r="D169" s="5"/>
      <c r="E169" s="5"/>
      <c r="F169" s="5"/>
      <c r="G169" s="5"/>
      <c r="H169" s="4"/>
      <c r="I169" s="19"/>
      <c r="J169" s="8"/>
      <c r="K169" s="17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</row>
    <row r="170" spans="1:53" x14ac:dyDescent="0.25">
      <c r="A170" s="5"/>
      <c r="B170" s="5"/>
      <c r="C170" s="5"/>
      <c r="D170" s="5"/>
      <c r="E170" s="5"/>
      <c r="F170" s="5"/>
      <c r="G170" s="5"/>
      <c r="H170" s="4"/>
      <c r="I170" s="19"/>
      <c r="J170" s="8"/>
      <c r="K170" s="17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</row>
    <row r="171" spans="1:53" x14ac:dyDescent="0.25">
      <c r="A171" s="5"/>
      <c r="B171" s="5"/>
      <c r="C171" s="5"/>
      <c r="D171" s="5"/>
      <c r="E171" s="5"/>
      <c r="F171" s="5"/>
      <c r="G171" s="5"/>
      <c r="H171" s="4"/>
      <c r="I171" s="19"/>
      <c r="J171" s="8"/>
      <c r="K171" s="17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</row>
    <row r="172" spans="1:53" x14ac:dyDescent="0.25">
      <c r="A172" s="5"/>
      <c r="B172" s="5"/>
      <c r="C172" s="5"/>
      <c r="D172" s="5"/>
      <c r="E172" s="5"/>
      <c r="F172" s="5"/>
      <c r="G172" s="5"/>
      <c r="H172" s="4"/>
      <c r="I172" s="19"/>
      <c r="J172" s="8"/>
      <c r="K172" s="17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</row>
    <row r="173" spans="1:53" x14ac:dyDescent="0.25">
      <c r="A173" s="5"/>
      <c r="B173" s="5"/>
      <c r="C173" s="5"/>
      <c r="D173" s="5"/>
      <c r="E173" s="5"/>
      <c r="F173" s="5"/>
      <c r="G173" s="5"/>
      <c r="H173" s="4"/>
      <c r="I173" s="19"/>
      <c r="J173" s="8"/>
      <c r="K173" s="17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</row>
    <row r="174" spans="1:53" x14ac:dyDescent="0.25">
      <c r="A174" s="5"/>
      <c r="B174" s="5"/>
      <c r="C174" s="5"/>
      <c r="D174" s="5"/>
      <c r="E174" s="5"/>
      <c r="F174" s="5"/>
      <c r="G174" s="5"/>
      <c r="H174" s="4"/>
      <c r="I174" s="19"/>
      <c r="J174" s="8"/>
      <c r="K174" s="17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</row>
    <row r="175" spans="1:53" x14ac:dyDescent="0.25">
      <c r="A175" s="5"/>
      <c r="B175" s="5"/>
      <c r="C175" s="5"/>
      <c r="D175" s="5"/>
      <c r="E175" s="5"/>
      <c r="F175" s="5"/>
      <c r="G175" s="5"/>
      <c r="H175" s="4"/>
      <c r="I175" s="19"/>
      <c r="J175" s="8"/>
      <c r="K175" s="17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</row>
    <row r="176" spans="1:53" x14ac:dyDescent="0.25">
      <c r="A176" s="5"/>
      <c r="B176" s="5"/>
      <c r="C176" s="5"/>
      <c r="D176" s="5"/>
      <c r="E176" s="5"/>
      <c r="F176" s="5"/>
      <c r="G176" s="5"/>
      <c r="H176" s="4"/>
      <c r="I176" s="19"/>
      <c r="J176" s="8"/>
      <c r="K176" s="17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</row>
    <row r="177" spans="1:53" x14ac:dyDescent="0.25">
      <c r="A177" s="5"/>
      <c r="B177" s="5"/>
      <c r="C177" s="5"/>
      <c r="D177" s="5"/>
      <c r="E177" s="5"/>
      <c r="F177" s="5"/>
      <c r="G177" s="5"/>
      <c r="H177" s="4"/>
      <c r="I177" s="19"/>
      <c r="J177" s="8"/>
      <c r="K177" s="17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</row>
    <row r="178" spans="1:53" x14ac:dyDescent="0.25">
      <c r="A178" s="5"/>
      <c r="B178" s="5"/>
      <c r="C178" s="5"/>
      <c r="D178" s="5"/>
      <c r="E178" s="5"/>
      <c r="F178" s="5"/>
      <c r="G178" s="5"/>
      <c r="H178" s="4"/>
      <c r="I178" s="19"/>
      <c r="J178" s="8"/>
      <c r="K178" s="17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</row>
    <row r="179" spans="1:53" x14ac:dyDescent="0.25">
      <c r="A179" s="5"/>
      <c r="B179" s="5"/>
      <c r="C179" s="5"/>
      <c r="D179" s="5"/>
      <c r="E179" s="5"/>
      <c r="F179" s="5"/>
      <c r="G179" s="5"/>
      <c r="H179" s="4"/>
      <c r="I179" s="19"/>
      <c r="J179" s="8"/>
      <c r="K179" s="17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</row>
    <row r="180" spans="1:53" x14ac:dyDescent="0.25">
      <c r="A180" s="5"/>
      <c r="B180" s="5"/>
      <c r="C180" s="5"/>
      <c r="D180" s="5"/>
      <c r="E180" s="5"/>
      <c r="F180" s="5"/>
      <c r="G180" s="5"/>
      <c r="H180" s="4"/>
      <c r="I180" s="19"/>
      <c r="J180" s="8"/>
      <c r="K180" s="17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</row>
    <row r="181" spans="1:53" x14ac:dyDescent="0.25">
      <c r="A181" s="5"/>
      <c r="B181" s="5"/>
      <c r="C181" s="5"/>
      <c r="D181" s="5"/>
      <c r="E181" s="5"/>
      <c r="F181" s="5"/>
      <c r="G181" s="5"/>
      <c r="H181" s="4"/>
      <c r="I181" s="19"/>
      <c r="J181" s="8"/>
      <c r="K181" s="17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</row>
    <row r="182" spans="1:53" x14ac:dyDescent="0.25">
      <c r="A182" s="5"/>
      <c r="B182" s="5"/>
      <c r="C182" s="5"/>
      <c r="D182" s="5"/>
      <c r="E182" s="5"/>
      <c r="F182" s="5"/>
      <c r="G182" s="5"/>
      <c r="H182" s="4"/>
      <c r="I182" s="19"/>
      <c r="J182" s="8"/>
      <c r="K182" s="17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</row>
    <row r="183" spans="1:53" x14ac:dyDescent="0.25">
      <c r="A183" s="5"/>
      <c r="B183" s="5"/>
      <c r="C183" s="5"/>
      <c r="D183" s="5"/>
      <c r="E183" s="5"/>
      <c r="F183" s="5"/>
      <c r="G183" s="5"/>
      <c r="H183" s="4"/>
      <c r="I183" s="19"/>
      <c r="J183" s="8"/>
      <c r="K183" s="17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</row>
    <row r="184" spans="1:53" x14ac:dyDescent="0.25">
      <c r="A184" s="5"/>
      <c r="B184" s="5"/>
      <c r="C184" s="5"/>
      <c r="D184" s="5"/>
      <c r="E184" s="5"/>
      <c r="F184" s="5"/>
      <c r="G184" s="5"/>
      <c r="H184" s="4"/>
      <c r="I184" s="19"/>
      <c r="J184" s="8"/>
      <c r="K184" s="17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</row>
    <row r="185" spans="1:53" x14ac:dyDescent="0.25">
      <c r="A185" s="5"/>
      <c r="B185" s="5"/>
      <c r="C185" s="5"/>
      <c r="D185" s="5"/>
      <c r="E185" s="5"/>
      <c r="F185" s="5"/>
      <c r="G185" s="5"/>
      <c r="H185" s="4"/>
      <c r="I185" s="19"/>
      <c r="J185" s="8"/>
      <c r="K185" s="17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</row>
    <row r="186" spans="1:53" x14ac:dyDescent="0.25">
      <c r="A186" s="5"/>
      <c r="B186" s="5"/>
      <c r="C186" s="5"/>
      <c r="D186" s="5"/>
      <c r="E186" s="5"/>
      <c r="F186" s="5"/>
      <c r="G186" s="5"/>
      <c r="H186" s="4"/>
      <c r="I186" s="19"/>
      <c r="J186" s="8"/>
      <c r="K186" s="17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</row>
    <row r="187" spans="1:53" x14ac:dyDescent="0.25">
      <c r="A187" s="5"/>
      <c r="B187" s="5"/>
      <c r="C187" s="5"/>
      <c r="D187" s="5"/>
      <c r="E187" s="5"/>
      <c r="F187" s="5"/>
      <c r="G187" s="5"/>
      <c r="H187" s="4"/>
      <c r="I187" s="19"/>
      <c r="J187" s="8"/>
      <c r="K187" s="17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</row>
    <row r="188" spans="1:53" x14ac:dyDescent="0.25">
      <c r="A188" s="5"/>
      <c r="B188" s="5"/>
      <c r="C188" s="5"/>
      <c r="D188" s="5"/>
      <c r="E188" s="5"/>
      <c r="F188" s="5"/>
      <c r="G188" s="5"/>
      <c r="H188" s="4"/>
      <c r="I188" s="19"/>
      <c r="J188" s="8"/>
      <c r="K188" s="17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</row>
    <row r="189" spans="1:53" x14ac:dyDescent="0.25">
      <c r="A189" s="5"/>
      <c r="B189" s="5"/>
      <c r="C189" s="5"/>
      <c r="D189" s="5"/>
      <c r="E189" s="5"/>
      <c r="F189" s="5"/>
      <c r="G189" s="5"/>
      <c r="H189" s="4"/>
      <c r="I189" s="19"/>
      <c r="J189" s="8"/>
      <c r="K189" s="17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</row>
    <row r="190" spans="1:53" x14ac:dyDescent="0.25">
      <c r="A190" s="5"/>
      <c r="B190" s="5"/>
      <c r="C190" s="5"/>
      <c r="D190" s="5"/>
      <c r="E190" s="5"/>
      <c r="F190" s="5"/>
      <c r="G190" s="5"/>
      <c r="H190" s="4"/>
      <c r="I190" s="19"/>
      <c r="J190" s="8"/>
      <c r="K190" s="17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</row>
    <row r="191" spans="1:53" x14ac:dyDescent="0.25">
      <c r="A191" s="5"/>
      <c r="B191" s="5"/>
      <c r="C191" s="5"/>
      <c r="D191" s="5"/>
      <c r="E191" s="5"/>
      <c r="F191" s="5"/>
      <c r="G191" s="5"/>
      <c r="H191" s="4"/>
      <c r="I191" s="19"/>
      <c r="J191" s="8"/>
      <c r="K191" s="17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</row>
    <row r="192" spans="1:53" x14ac:dyDescent="0.25">
      <c r="A192" s="5"/>
      <c r="B192" s="5"/>
      <c r="C192" s="5"/>
      <c r="D192" s="5"/>
      <c r="E192" s="5"/>
      <c r="F192" s="5"/>
      <c r="G192" s="5"/>
      <c r="H192" s="4"/>
      <c r="I192" s="19"/>
      <c r="J192" s="8"/>
      <c r="K192" s="17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</row>
    <row r="193" spans="1:53" x14ac:dyDescent="0.25">
      <c r="A193" s="5"/>
      <c r="B193" s="5"/>
      <c r="C193" s="5"/>
      <c r="D193" s="5"/>
      <c r="E193" s="5"/>
      <c r="F193" s="5"/>
      <c r="G193" s="5"/>
      <c r="H193" s="4"/>
      <c r="I193" s="19"/>
      <c r="J193" s="8"/>
      <c r="K193" s="17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</row>
    <row r="194" spans="1:53" x14ac:dyDescent="0.25">
      <c r="A194" s="5"/>
      <c r="B194" s="5"/>
      <c r="C194" s="5"/>
      <c r="D194" s="5"/>
      <c r="E194" s="5"/>
      <c r="F194" s="5"/>
      <c r="G194" s="5"/>
      <c r="H194" s="4"/>
      <c r="I194" s="19"/>
      <c r="J194" s="8"/>
      <c r="K194" s="17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</row>
    <row r="195" spans="1:53" x14ac:dyDescent="0.25">
      <c r="A195" s="5"/>
      <c r="B195" s="5"/>
      <c r="C195" s="5"/>
      <c r="D195" s="5"/>
      <c r="E195" s="5"/>
      <c r="F195" s="5"/>
      <c r="G195" s="5"/>
      <c r="H195" s="4"/>
      <c r="I195" s="19"/>
      <c r="J195" s="8"/>
      <c r="K195" s="17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</row>
    <row r="196" spans="1:53" x14ac:dyDescent="0.25">
      <c r="A196" s="5"/>
      <c r="B196" s="5"/>
      <c r="C196" s="5"/>
      <c r="D196" s="5"/>
      <c r="E196" s="5"/>
      <c r="F196" s="5"/>
      <c r="G196" s="5"/>
      <c r="H196" s="4"/>
      <c r="I196" s="19"/>
      <c r="J196" s="8"/>
      <c r="K196" s="17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</row>
    <row r="197" spans="1:53" x14ac:dyDescent="0.25">
      <c r="A197" s="5"/>
      <c r="B197" s="5"/>
      <c r="C197" s="5"/>
      <c r="D197" s="5"/>
      <c r="E197" s="5"/>
      <c r="F197" s="5"/>
      <c r="G197" s="5"/>
      <c r="H197" s="4"/>
      <c r="I197" s="19"/>
      <c r="J197" s="8"/>
      <c r="K197" s="17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</row>
    <row r="198" spans="1:53" x14ac:dyDescent="0.25">
      <c r="A198" s="5"/>
      <c r="B198" s="5"/>
      <c r="C198" s="5"/>
      <c r="D198" s="5"/>
      <c r="E198" s="5"/>
      <c r="F198" s="5"/>
      <c r="G198" s="5"/>
      <c r="H198" s="4"/>
      <c r="I198" s="19"/>
      <c r="J198" s="8"/>
      <c r="K198" s="17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</row>
    <row r="199" spans="1:53" x14ac:dyDescent="0.25">
      <c r="A199" s="5"/>
      <c r="B199" s="5"/>
      <c r="C199" s="5"/>
      <c r="D199" s="5"/>
      <c r="E199" s="5"/>
      <c r="F199" s="5"/>
      <c r="G199" s="5"/>
      <c r="H199" s="4"/>
      <c r="I199" s="19"/>
      <c r="J199" s="8"/>
      <c r="K199" s="17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</row>
    <row r="200" spans="1:53" x14ac:dyDescent="0.25">
      <c r="A200" s="5"/>
      <c r="B200" s="5"/>
      <c r="C200" s="5"/>
      <c r="D200" s="5"/>
      <c r="E200" s="5"/>
      <c r="F200" s="5"/>
      <c r="G200" s="5"/>
      <c r="H200" s="4"/>
      <c r="I200" s="19"/>
      <c r="J200" s="8"/>
      <c r="K200" s="17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</row>
    <row r="201" spans="1:53" x14ac:dyDescent="0.25">
      <c r="A201" s="5"/>
      <c r="B201" s="5"/>
      <c r="C201" s="5"/>
      <c r="D201" s="5"/>
      <c r="E201" s="5"/>
      <c r="F201" s="5"/>
      <c r="G201" s="5"/>
      <c r="H201" s="4"/>
      <c r="I201" s="19"/>
      <c r="J201" s="8"/>
      <c r="K201" s="17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</row>
    <row r="202" spans="1:53" x14ac:dyDescent="0.25">
      <c r="A202" s="5"/>
      <c r="B202" s="5"/>
      <c r="C202" s="5"/>
      <c r="D202" s="5"/>
      <c r="E202" s="5"/>
      <c r="F202" s="5"/>
      <c r="G202" s="5"/>
      <c r="H202" s="4"/>
      <c r="I202" s="19"/>
      <c r="J202" s="8"/>
      <c r="K202" s="17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</row>
    <row r="203" spans="1:53" x14ac:dyDescent="0.25">
      <c r="A203" s="5"/>
      <c r="B203" s="5"/>
      <c r="C203" s="5"/>
      <c r="D203" s="5"/>
      <c r="E203" s="5"/>
      <c r="F203" s="5"/>
      <c r="G203" s="5"/>
      <c r="H203" s="4"/>
      <c r="I203" s="19"/>
      <c r="J203" s="8"/>
      <c r="K203" s="17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</row>
    <row r="204" spans="1:53" x14ac:dyDescent="0.25">
      <c r="A204" s="5"/>
      <c r="B204" s="5"/>
      <c r="C204" s="5"/>
      <c r="D204" s="5"/>
      <c r="E204" s="5"/>
      <c r="F204" s="5"/>
      <c r="G204" s="5"/>
      <c r="H204" s="4"/>
      <c r="I204" s="19"/>
      <c r="J204" s="8"/>
      <c r="K204" s="17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</row>
    <row r="205" spans="1:53" x14ac:dyDescent="0.25">
      <c r="A205" s="5"/>
      <c r="B205" s="5"/>
      <c r="C205" s="5"/>
      <c r="D205" s="5"/>
      <c r="E205" s="5"/>
      <c r="F205" s="5"/>
      <c r="G205" s="5"/>
      <c r="H205" s="4"/>
      <c r="I205" s="19"/>
      <c r="J205" s="8"/>
      <c r="K205" s="17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</row>
    <row r="206" spans="1:53" x14ac:dyDescent="0.25">
      <c r="A206" s="5"/>
      <c r="B206" s="5"/>
      <c r="C206" s="5"/>
      <c r="D206" s="5"/>
      <c r="E206" s="5"/>
      <c r="F206" s="5"/>
      <c r="G206" s="5"/>
      <c r="H206" s="4"/>
      <c r="I206" s="19"/>
      <c r="J206" s="8"/>
      <c r="K206" s="17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</row>
    <row r="207" spans="1:53" x14ac:dyDescent="0.25">
      <c r="A207" s="5"/>
      <c r="B207" s="5"/>
      <c r="C207" s="5"/>
      <c r="D207" s="5"/>
      <c r="E207" s="5"/>
      <c r="F207" s="5"/>
      <c r="G207" s="5"/>
      <c r="H207" s="4"/>
      <c r="I207" s="19"/>
      <c r="J207" s="8"/>
      <c r="K207" s="17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</row>
    <row r="208" spans="1:53" x14ac:dyDescent="0.25">
      <c r="A208" s="5"/>
      <c r="B208" s="5"/>
      <c r="C208" s="5"/>
      <c r="D208" s="5"/>
      <c r="E208" s="5"/>
      <c r="F208" s="5"/>
      <c r="G208" s="5"/>
      <c r="H208" s="4"/>
      <c r="I208" s="19"/>
      <c r="J208" s="8"/>
      <c r="K208" s="17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</row>
    <row r="209" spans="1:53" x14ac:dyDescent="0.25">
      <c r="A209" s="5"/>
      <c r="B209" s="5"/>
      <c r="C209" s="5"/>
      <c r="D209" s="5"/>
      <c r="E209" s="5"/>
      <c r="F209" s="5"/>
      <c r="G209" s="5"/>
      <c r="H209" s="4"/>
      <c r="I209" s="19"/>
      <c r="J209" s="8"/>
      <c r="K209" s="17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</row>
    <row r="210" spans="1:53" x14ac:dyDescent="0.25">
      <c r="A210" s="5"/>
      <c r="B210" s="5"/>
      <c r="C210" s="5"/>
      <c r="D210" s="5"/>
      <c r="E210" s="5"/>
      <c r="F210" s="5"/>
      <c r="G210" s="5"/>
      <c r="H210" s="4"/>
      <c r="I210" s="19"/>
      <c r="J210" s="8"/>
      <c r="K210" s="17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</row>
    <row r="211" spans="1:53" x14ac:dyDescent="0.25">
      <c r="A211" s="5"/>
      <c r="B211" s="5"/>
      <c r="C211" s="5"/>
      <c r="D211" s="5"/>
      <c r="E211" s="5"/>
      <c r="F211" s="5"/>
      <c r="G211" s="5"/>
      <c r="H211" s="4"/>
      <c r="I211" s="19"/>
      <c r="J211" s="8"/>
      <c r="K211" s="17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</row>
    <row r="212" spans="1:53" x14ac:dyDescent="0.25">
      <c r="A212" s="5"/>
      <c r="B212" s="5"/>
      <c r="C212" s="5"/>
      <c r="D212" s="5"/>
      <c r="E212" s="5"/>
      <c r="F212" s="5"/>
      <c r="G212" s="5"/>
      <c r="H212" s="4"/>
      <c r="I212" s="19"/>
      <c r="J212" s="8"/>
      <c r="K212" s="17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</row>
    <row r="213" spans="1:53" x14ac:dyDescent="0.25">
      <c r="A213" s="5"/>
      <c r="B213" s="5"/>
      <c r="C213" s="5"/>
      <c r="D213" s="5"/>
      <c r="E213" s="5"/>
      <c r="F213" s="5"/>
      <c r="G213" s="5"/>
      <c r="H213" s="4"/>
      <c r="I213" s="19"/>
      <c r="J213" s="8"/>
      <c r="K213" s="17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</row>
    <row r="214" spans="1:53" x14ac:dyDescent="0.25">
      <c r="A214" s="5"/>
      <c r="B214" s="5"/>
      <c r="C214" s="5"/>
      <c r="D214" s="5"/>
      <c r="E214" s="5"/>
      <c r="F214" s="5"/>
      <c r="G214" s="5"/>
      <c r="H214" s="4"/>
      <c r="I214" s="19"/>
      <c r="J214" s="8"/>
      <c r="K214" s="17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</row>
    <row r="215" spans="1:53" x14ac:dyDescent="0.25">
      <c r="A215" s="5"/>
      <c r="B215" s="5"/>
      <c r="C215" s="5"/>
      <c r="D215" s="5"/>
      <c r="E215" s="5"/>
      <c r="F215" s="5"/>
      <c r="G215" s="5"/>
      <c r="H215" s="4"/>
      <c r="I215" s="19"/>
      <c r="J215" s="8"/>
      <c r="K215" s="17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</row>
    <row r="216" spans="1:53" x14ac:dyDescent="0.25">
      <c r="A216" s="5"/>
      <c r="B216" s="5"/>
      <c r="C216" s="5"/>
      <c r="D216" s="5"/>
      <c r="E216" s="5"/>
      <c r="F216" s="5"/>
      <c r="G216" s="5"/>
      <c r="H216" s="4"/>
      <c r="I216" s="19"/>
      <c r="J216" s="8"/>
      <c r="K216" s="17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</row>
    <row r="217" spans="1:53" x14ac:dyDescent="0.25">
      <c r="A217" s="5"/>
      <c r="B217" s="5"/>
      <c r="C217" s="5"/>
      <c r="D217" s="5"/>
      <c r="E217" s="5"/>
      <c r="F217" s="5"/>
      <c r="G217" s="5"/>
      <c r="H217" s="4"/>
      <c r="I217" s="19"/>
      <c r="J217" s="8"/>
      <c r="K217" s="17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</row>
    <row r="218" spans="1:53" x14ac:dyDescent="0.25">
      <c r="A218" s="5"/>
      <c r="B218" s="5"/>
      <c r="C218" s="5"/>
      <c r="D218" s="5"/>
      <c r="E218" s="5"/>
      <c r="F218" s="5"/>
      <c r="G218" s="5"/>
      <c r="H218" s="4"/>
      <c r="I218" s="19"/>
      <c r="J218" s="8"/>
      <c r="K218" s="17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</row>
    <row r="219" spans="1:53" x14ac:dyDescent="0.25">
      <c r="A219" s="5"/>
      <c r="B219" s="5"/>
      <c r="C219" s="5"/>
      <c r="D219" s="5"/>
      <c r="E219" s="5"/>
      <c r="F219" s="5"/>
      <c r="G219" s="5"/>
      <c r="H219" s="4"/>
      <c r="I219" s="19"/>
      <c r="J219" s="8"/>
      <c r="K219" s="17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</row>
    <row r="220" spans="1:53" x14ac:dyDescent="0.25">
      <c r="A220" s="5"/>
      <c r="B220" s="5"/>
      <c r="C220" s="5"/>
      <c r="D220" s="5"/>
      <c r="E220" s="5"/>
      <c r="F220" s="5"/>
      <c r="G220" s="5"/>
      <c r="H220" s="4"/>
      <c r="I220" s="19"/>
      <c r="J220" s="8"/>
      <c r="K220" s="17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</row>
    <row r="221" spans="1:53" x14ac:dyDescent="0.25">
      <c r="A221" s="5"/>
      <c r="B221" s="5"/>
      <c r="C221" s="5"/>
      <c r="D221" s="5"/>
      <c r="E221" s="5"/>
      <c r="F221" s="5"/>
      <c r="G221" s="5"/>
      <c r="H221" s="4"/>
      <c r="I221" s="19"/>
      <c r="J221" s="8"/>
      <c r="K221" s="17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</row>
    <row r="222" spans="1:53" x14ac:dyDescent="0.25">
      <c r="A222" s="5"/>
      <c r="B222" s="5"/>
      <c r="C222" s="5"/>
      <c r="D222" s="5"/>
      <c r="E222" s="5"/>
      <c r="F222" s="5"/>
      <c r="G222" s="5"/>
      <c r="H222" s="4"/>
      <c r="I222" s="19"/>
      <c r="J222" s="8"/>
      <c r="K222" s="17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</row>
    <row r="223" spans="1:53" x14ac:dyDescent="0.25">
      <c r="A223" s="5"/>
      <c r="B223" s="5"/>
      <c r="C223" s="5"/>
      <c r="D223" s="5"/>
      <c r="E223" s="5"/>
      <c r="F223" s="5"/>
      <c r="G223" s="5"/>
      <c r="H223" s="4"/>
      <c r="I223" s="19"/>
      <c r="J223" s="8"/>
      <c r="K223" s="17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</row>
    <row r="224" spans="1:53" x14ac:dyDescent="0.25">
      <c r="A224" s="5"/>
      <c r="B224" s="5"/>
      <c r="C224" s="5"/>
      <c r="D224" s="5"/>
      <c r="E224" s="5"/>
      <c r="F224" s="5"/>
      <c r="G224" s="5"/>
      <c r="H224" s="4"/>
      <c r="I224" s="19"/>
      <c r="J224" s="8"/>
      <c r="K224" s="17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</row>
    <row r="225" spans="1:53" x14ac:dyDescent="0.25">
      <c r="A225" s="5"/>
      <c r="B225" s="5"/>
      <c r="C225" s="5"/>
      <c r="D225" s="5"/>
      <c r="E225" s="5"/>
      <c r="F225" s="5"/>
      <c r="G225" s="5"/>
      <c r="H225" s="4"/>
      <c r="I225" s="19"/>
      <c r="J225" s="8"/>
      <c r="K225" s="17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</row>
    <row r="226" spans="1:53" x14ac:dyDescent="0.25">
      <c r="A226" s="5"/>
      <c r="B226" s="5"/>
      <c r="C226" s="5"/>
      <c r="D226" s="5"/>
      <c r="E226" s="5"/>
      <c r="F226" s="5"/>
      <c r="G226" s="5"/>
      <c r="H226" s="4"/>
      <c r="I226" s="19"/>
      <c r="J226" s="8"/>
      <c r="K226" s="17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</row>
    <row r="227" spans="1:53" x14ac:dyDescent="0.25">
      <c r="A227" s="5"/>
      <c r="B227" s="5"/>
      <c r="C227" s="5"/>
      <c r="D227" s="5"/>
      <c r="E227" s="5"/>
      <c r="F227" s="5"/>
      <c r="G227" s="5"/>
      <c r="H227" s="4"/>
      <c r="I227" s="19"/>
      <c r="J227" s="8"/>
      <c r="K227" s="17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</row>
    <row r="228" spans="1:53" x14ac:dyDescent="0.25">
      <c r="A228" s="5"/>
      <c r="B228" s="5"/>
      <c r="C228" s="5"/>
      <c r="D228" s="5"/>
      <c r="E228" s="5"/>
      <c r="F228" s="5"/>
      <c r="G228" s="5"/>
      <c r="H228" s="4"/>
      <c r="I228" s="19"/>
      <c r="J228" s="8"/>
      <c r="K228" s="17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</row>
    <row r="229" spans="1:53" x14ac:dyDescent="0.25">
      <c r="A229" s="5"/>
      <c r="B229" s="5"/>
      <c r="C229" s="5"/>
      <c r="D229" s="5"/>
      <c r="E229" s="5"/>
      <c r="F229" s="5"/>
      <c r="G229" s="5"/>
      <c r="H229" s="4"/>
      <c r="I229" s="19"/>
      <c r="J229" s="8"/>
      <c r="K229" s="17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</row>
    <row r="230" spans="1:53" x14ac:dyDescent="0.25">
      <c r="A230" s="5"/>
      <c r="B230" s="5"/>
      <c r="C230" s="5"/>
      <c r="D230" s="5"/>
      <c r="E230" s="5"/>
      <c r="F230" s="5"/>
      <c r="G230" s="5"/>
      <c r="H230" s="4"/>
      <c r="I230" s="19"/>
      <c r="J230" s="8"/>
      <c r="K230" s="17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</row>
    <row r="231" spans="1:53" x14ac:dyDescent="0.25">
      <c r="A231" s="5"/>
      <c r="B231" s="5"/>
      <c r="C231" s="5"/>
      <c r="D231" s="5"/>
      <c r="E231" s="5"/>
      <c r="F231" s="5"/>
      <c r="G231" s="5"/>
      <c r="H231" s="4"/>
      <c r="I231" s="19"/>
      <c r="J231" s="8"/>
      <c r="K231" s="17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</row>
    <row r="232" spans="1:53" x14ac:dyDescent="0.25">
      <c r="A232" s="5"/>
      <c r="B232" s="5"/>
      <c r="C232" s="5"/>
      <c r="D232" s="5"/>
      <c r="E232" s="5"/>
      <c r="F232" s="5"/>
      <c r="G232" s="5"/>
      <c r="H232" s="4"/>
      <c r="I232" s="19"/>
      <c r="J232" s="8"/>
      <c r="K232" s="17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</row>
    <row r="233" spans="1:53" x14ac:dyDescent="0.25">
      <c r="A233" s="5"/>
      <c r="B233" s="5"/>
      <c r="C233" s="5"/>
      <c r="D233" s="5"/>
      <c r="E233" s="5"/>
      <c r="F233" s="5"/>
      <c r="G233" s="5"/>
      <c r="H233" s="4"/>
      <c r="I233" s="19"/>
      <c r="J233" s="8"/>
      <c r="K233" s="17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</row>
    <row r="234" spans="1:53" x14ac:dyDescent="0.25">
      <c r="A234" s="5"/>
      <c r="B234" s="5"/>
      <c r="C234" s="5"/>
      <c r="D234" s="5"/>
      <c r="E234" s="5"/>
      <c r="F234" s="5"/>
      <c r="G234" s="5"/>
      <c r="H234" s="4"/>
      <c r="I234" s="19"/>
      <c r="J234" s="8"/>
      <c r="K234" s="17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</row>
    <row r="235" spans="1:53" x14ac:dyDescent="0.25">
      <c r="A235" s="5"/>
      <c r="B235" s="5"/>
      <c r="C235" s="5"/>
      <c r="D235" s="5"/>
      <c r="E235" s="5"/>
      <c r="F235" s="5"/>
      <c r="G235" s="5"/>
      <c r="H235" s="4"/>
      <c r="I235" s="19"/>
      <c r="J235" s="8"/>
      <c r="K235" s="17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</row>
    <row r="236" spans="1:53" x14ac:dyDescent="0.25">
      <c r="A236" s="5"/>
      <c r="B236" s="5"/>
      <c r="C236" s="5"/>
      <c r="D236" s="5"/>
      <c r="E236" s="5"/>
      <c r="F236" s="5"/>
      <c r="G236" s="5"/>
      <c r="H236" s="4"/>
      <c r="I236" s="19"/>
      <c r="J236" s="8"/>
      <c r="K236" s="17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</row>
    <row r="237" spans="1:53" x14ac:dyDescent="0.25">
      <c r="A237" s="5"/>
      <c r="B237" s="5"/>
      <c r="C237" s="5"/>
      <c r="D237" s="5"/>
      <c r="E237" s="5"/>
      <c r="F237" s="5"/>
      <c r="G237" s="5"/>
      <c r="H237" s="4"/>
      <c r="I237" s="19"/>
      <c r="J237" s="8"/>
      <c r="K237" s="17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</row>
    <row r="238" spans="1:53" x14ac:dyDescent="0.25">
      <c r="A238" s="5"/>
      <c r="B238" s="5"/>
      <c r="C238" s="5"/>
      <c r="D238" s="5"/>
      <c r="E238" s="5"/>
      <c r="F238" s="5"/>
      <c r="G238" s="5"/>
      <c r="H238" s="4"/>
      <c r="I238" s="19"/>
      <c r="J238" s="8"/>
      <c r="K238" s="17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</row>
    <row r="239" spans="1:53" x14ac:dyDescent="0.25">
      <c r="A239" s="5"/>
      <c r="B239" s="5"/>
      <c r="C239" s="5"/>
      <c r="D239" s="5"/>
      <c r="E239" s="5"/>
      <c r="F239" s="5"/>
      <c r="G239" s="5"/>
      <c r="H239" s="4"/>
      <c r="I239" s="19"/>
      <c r="J239" s="8"/>
      <c r="K239" s="17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</row>
    <row r="240" spans="1:53" x14ac:dyDescent="0.25">
      <c r="A240" s="5"/>
      <c r="B240" s="5"/>
      <c r="C240" s="5"/>
      <c r="D240" s="5"/>
      <c r="E240" s="5"/>
      <c r="F240" s="5"/>
      <c r="G240" s="5"/>
      <c r="H240" s="4"/>
      <c r="I240" s="19"/>
      <c r="J240" s="8"/>
      <c r="K240" s="17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</row>
    <row r="241" spans="1:53" x14ac:dyDescent="0.25">
      <c r="A241" s="5"/>
      <c r="B241" s="5"/>
      <c r="C241" s="5"/>
      <c r="D241" s="5"/>
      <c r="E241" s="5"/>
      <c r="F241" s="5"/>
      <c r="G241" s="5"/>
      <c r="H241" s="4"/>
      <c r="I241" s="19"/>
      <c r="J241" s="8"/>
      <c r="K241" s="17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</row>
    <row r="242" spans="1:53" x14ac:dyDescent="0.25">
      <c r="A242" s="5"/>
      <c r="B242" s="5"/>
      <c r="C242" s="5"/>
      <c r="D242" s="5"/>
      <c r="E242" s="5"/>
      <c r="F242" s="5"/>
      <c r="G242" s="5"/>
      <c r="H242" s="4"/>
      <c r="I242" s="19"/>
      <c r="J242" s="8"/>
      <c r="K242" s="17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</row>
    <row r="243" spans="1:53" x14ac:dyDescent="0.25">
      <c r="A243" s="5"/>
      <c r="B243" s="5"/>
      <c r="C243" s="5"/>
      <c r="D243" s="5"/>
      <c r="E243" s="5"/>
      <c r="F243" s="5"/>
      <c r="G243" s="5"/>
      <c r="H243" s="4"/>
      <c r="I243" s="19"/>
      <c r="J243" s="8"/>
      <c r="K243" s="17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</row>
    <row r="244" spans="1:53" x14ac:dyDescent="0.25">
      <c r="A244" s="5"/>
      <c r="B244" s="5"/>
      <c r="C244" s="5"/>
      <c r="D244" s="5"/>
      <c r="E244" s="5"/>
      <c r="F244" s="5"/>
      <c r="G244" s="5"/>
      <c r="H244" s="4"/>
      <c r="I244" s="19"/>
      <c r="J244" s="8"/>
      <c r="K244" s="17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</row>
    <row r="245" spans="1:53" x14ac:dyDescent="0.25">
      <c r="A245" s="5"/>
      <c r="B245" s="5"/>
      <c r="C245" s="5"/>
      <c r="D245" s="5"/>
      <c r="E245" s="5"/>
      <c r="F245" s="5"/>
      <c r="G245" s="5"/>
      <c r="H245" s="4"/>
      <c r="I245" s="19"/>
      <c r="J245" s="8"/>
      <c r="K245" s="17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</row>
    <row r="246" spans="1:53" x14ac:dyDescent="0.25">
      <c r="A246" s="5"/>
      <c r="B246" s="5"/>
      <c r="C246" s="5"/>
      <c r="D246" s="5"/>
      <c r="E246" s="5"/>
      <c r="F246" s="5"/>
      <c r="G246" s="5"/>
      <c r="H246" s="4"/>
      <c r="I246" s="19"/>
      <c r="J246" s="8"/>
      <c r="K246" s="17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</row>
    <row r="247" spans="1:53" x14ac:dyDescent="0.25">
      <c r="A247" s="5"/>
      <c r="B247" s="5"/>
      <c r="C247" s="5"/>
      <c r="D247" s="5"/>
      <c r="E247" s="5"/>
      <c r="F247" s="5"/>
      <c r="G247" s="5"/>
      <c r="H247" s="4"/>
      <c r="I247" s="19"/>
      <c r="J247" s="8"/>
      <c r="K247" s="17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</row>
    <row r="248" spans="1:53" x14ac:dyDescent="0.25">
      <c r="A248" s="5"/>
      <c r="B248" s="5"/>
      <c r="C248" s="5"/>
      <c r="D248" s="5"/>
      <c r="E248" s="5"/>
      <c r="F248" s="5"/>
      <c r="G248" s="5"/>
      <c r="H248" s="4"/>
      <c r="I248" s="19"/>
      <c r="J248" s="8"/>
      <c r="K248" s="17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</row>
    <row r="249" spans="1:53" x14ac:dyDescent="0.25">
      <c r="A249" s="5"/>
      <c r="B249" s="5"/>
      <c r="C249" s="5"/>
      <c r="D249" s="5"/>
      <c r="E249" s="5"/>
      <c r="F249" s="5"/>
      <c r="G249" s="5"/>
      <c r="H249" s="4"/>
      <c r="I249" s="19"/>
      <c r="J249" s="8"/>
      <c r="K249" s="17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</row>
    <row r="250" spans="1:53" x14ac:dyDescent="0.25">
      <c r="A250" s="5"/>
      <c r="B250" s="5"/>
      <c r="C250" s="5"/>
      <c r="D250" s="5"/>
      <c r="E250" s="5"/>
      <c r="F250" s="5"/>
      <c r="G250" s="5"/>
      <c r="H250" s="4"/>
      <c r="I250" s="19"/>
      <c r="J250" s="8"/>
      <c r="K250" s="17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</row>
    <row r="251" spans="1:53" x14ac:dyDescent="0.25">
      <c r="A251" s="5"/>
      <c r="B251" s="5"/>
      <c r="C251" s="5"/>
      <c r="D251" s="5"/>
      <c r="E251" s="5"/>
      <c r="F251" s="5"/>
      <c r="G251" s="5"/>
      <c r="H251" s="4"/>
      <c r="I251" s="19"/>
      <c r="J251" s="8"/>
      <c r="K251" s="17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</row>
    <row r="252" spans="1:53" x14ac:dyDescent="0.25">
      <c r="A252" s="5"/>
      <c r="B252" s="5"/>
      <c r="C252" s="5"/>
      <c r="D252" s="5"/>
      <c r="E252" s="5"/>
      <c r="F252" s="5"/>
      <c r="G252" s="5"/>
      <c r="H252" s="4"/>
      <c r="I252" s="19"/>
      <c r="J252" s="8"/>
      <c r="K252" s="17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</row>
    <row r="253" spans="1:53" x14ac:dyDescent="0.25">
      <c r="A253" s="5"/>
      <c r="B253" s="5"/>
      <c r="C253" s="5"/>
      <c r="D253" s="5"/>
      <c r="E253" s="5"/>
      <c r="F253" s="5"/>
      <c r="G253" s="5"/>
      <c r="H253" s="4"/>
      <c r="I253" s="19"/>
      <c r="J253" s="8"/>
      <c r="K253" s="17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</row>
    <row r="254" spans="1:53" x14ac:dyDescent="0.25">
      <c r="A254" s="5"/>
      <c r="B254" s="5"/>
      <c r="C254" s="5"/>
      <c r="D254" s="5"/>
      <c r="E254" s="5"/>
      <c r="F254" s="5"/>
      <c r="G254" s="5"/>
      <c r="H254" s="4"/>
      <c r="I254" s="19"/>
      <c r="J254" s="8"/>
      <c r="K254" s="17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</row>
    <row r="255" spans="1:53" x14ac:dyDescent="0.25">
      <c r="A255" s="5"/>
      <c r="B255" s="5"/>
      <c r="C255" s="5"/>
      <c r="D255" s="5"/>
      <c r="E255" s="5"/>
      <c r="F255" s="5"/>
      <c r="G255" s="5"/>
      <c r="H255" s="4"/>
      <c r="I255" s="19"/>
      <c r="J255" s="8"/>
      <c r="K255" s="17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</row>
    <row r="256" spans="1:53" x14ac:dyDescent="0.25">
      <c r="A256" s="5"/>
      <c r="B256" s="5"/>
      <c r="C256" s="5"/>
      <c r="D256" s="5"/>
      <c r="E256" s="5"/>
      <c r="F256" s="5"/>
      <c r="G256" s="5"/>
      <c r="H256" s="4"/>
      <c r="I256" s="19"/>
      <c r="J256" s="8"/>
      <c r="K256" s="17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</row>
    <row r="257" spans="1:53" x14ac:dyDescent="0.25">
      <c r="A257" s="5"/>
      <c r="B257" s="5"/>
      <c r="C257" s="5"/>
      <c r="D257" s="5"/>
      <c r="E257" s="5"/>
      <c r="F257" s="5"/>
      <c r="G257" s="5"/>
      <c r="H257" s="4"/>
      <c r="I257" s="19"/>
      <c r="J257" s="8"/>
      <c r="K257" s="17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</row>
    <row r="258" spans="1:53" x14ac:dyDescent="0.25">
      <c r="A258" s="5"/>
      <c r="B258" s="5"/>
      <c r="C258" s="5"/>
      <c r="D258" s="5"/>
      <c r="E258" s="5"/>
      <c r="F258" s="5"/>
      <c r="G258" s="5"/>
      <c r="H258" s="4"/>
      <c r="I258" s="19"/>
      <c r="J258" s="8"/>
      <c r="K258" s="17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</row>
    <row r="259" spans="1:53" x14ac:dyDescent="0.25">
      <c r="A259" s="5"/>
      <c r="B259" s="5"/>
      <c r="C259" s="5"/>
      <c r="D259" s="5"/>
      <c r="E259" s="5"/>
      <c r="F259" s="5"/>
      <c r="G259" s="5"/>
      <c r="H259" s="4"/>
      <c r="I259" s="19"/>
      <c r="J259" s="8"/>
      <c r="K259" s="17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</row>
    <row r="260" spans="1:53" x14ac:dyDescent="0.25">
      <c r="A260" s="5"/>
      <c r="B260" s="5"/>
      <c r="C260" s="5"/>
      <c r="D260" s="5"/>
      <c r="E260" s="5"/>
      <c r="F260" s="5"/>
      <c r="G260" s="5"/>
      <c r="H260" s="4"/>
      <c r="I260" s="19"/>
      <c r="J260" s="8"/>
      <c r="K260" s="17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</row>
    <row r="261" spans="1:53" x14ac:dyDescent="0.25">
      <c r="A261" s="5"/>
      <c r="B261" s="5"/>
      <c r="C261" s="5"/>
      <c r="D261" s="5"/>
      <c r="E261" s="5"/>
      <c r="F261" s="5"/>
      <c r="G261" s="5"/>
      <c r="H261" s="4"/>
      <c r="I261" s="19"/>
      <c r="J261" s="8"/>
      <c r="K261" s="17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</row>
    <row r="262" spans="1:53" x14ac:dyDescent="0.25">
      <c r="A262" s="5"/>
      <c r="B262" s="5"/>
      <c r="C262" s="5"/>
      <c r="D262" s="5"/>
      <c r="E262" s="5"/>
      <c r="F262" s="5"/>
      <c r="G262" s="5"/>
      <c r="H262" s="4"/>
      <c r="I262" s="19"/>
      <c r="J262" s="8"/>
      <c r="K262" s="17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</row>
    <row r="263" spans="1:53" x14ac:dyDescent="0.25">
      <c r="A263" s="5"/>
      <c r="B263" s="5"/>
      <c r="C263" s="5"/>
      <c r="D263" s="5"/>
      <c r="E263" s="5"/>
      <c r="F263" s="5"/>
      <c r="G263" s="5"/>
      <c r="H263" s="4"/>
      <c r="I263" s="19"/>
      <c r="J263" s="8"/>
      <c r="K263" s="17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</row>
    <row r="264" spans="1:53" x14ac:dyDescent="0.25">
      <c r="A264" s="5"/>
      <c r="B264" s="5"/>
      <c r="C264" s="5"/>
      <c r="D264" s="5"/>
      <c r="E264" s="5"/>
      <c r="F264" s="5"/>
      <c r="G264" s="5"/>
      <c r="H264" s="4"/>
      <c r="I264" s="19"/>
      <c r="J264" s="8"/>
      <c r="K264" s="17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</row>
    <row r="265" spans="1:53" x14ac:dyDescent="0.25">
      <c r="A265" s="5"/>
      <c r="B265" s="5"/>
      <c r="C265" s="5"/>
      <c r="D265" s="5"/>
      <c r="E265" s="5"/>
      <c r="F265" s="5"/>
      <c r="G265" s="5"/>
      <c r="H265" s="4"/>
      <c r="I265" s="19"/>
      <c r="J265" s="8"/>
      <c r="K265" s="17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</row>
    <row r="266" spans="1:53" x14ac:dyDescent="0.25">
      <c r="A266" s="5"/>
      <c r="B266" s="5"/>
      <c r="C266" s="5"/>
      <c r="D266" s="5"/>
      <c r="E266" s="5"/>
      <c r="F266" s="5"/>
      <c r="G266" s="5"/>
      <c r="H266" s="4"/>
      <c r="I266" s="19"/>
      <c r="J266" s="8"/>
      <c r="K266" s="17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</row>
    <row r="267" spans="1:53" x14ac:dyDescent="0.25">
      <c r="A267" s="5"/>
      <c r="B267" s="5"/>
      <c r="C267" s="5"/>
      <c r="D267" s="5"/>
      <c r="E267" s="5"/>
      <c r="F267" s="5"/>
      <c r="G267" s="5"/>
      <c r="H267" s="4"/>
      <c r="I267" s="19"/>
      <c r="J267" s="8"/>
      <c r="K267" s="17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</row>
    <row r="268" spans="1:53" x14ac:dyDescent="0.25">
      <c r="A268" s="5"/>
      <c r="B268" s="5"/>
      <c r="C268" s="5"/>
      <c r="D268" s="5"/>
      <c r="E268" s="5"/>
      <c r="F268" s="5"/>
      <c r="G268" s="5"/>
      <c r="H268" s="4"/>
      <c r="I268" s="19"/>
      <c r="J268" s="8"/>
      <c r="K268" s="17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</row>
    <row r="269" spans="1:53" x14ac:dyDescent="0.25">
      <c r="A269" s="5"/>
      <c r="B269" s="5"/>
      <c r="C269" s="5"/>
      <c r="D269" s="5"/>
      <c r="E269" s="5"/>
      <c r="F269" s="5"/>
      <c r="G269" s="5"/>
      <c r="H269" s="4"/>
      <c r="I269" s="19"/>
      <c r="J269" s="8"/>
      <c r="K269" s="17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</row>
    <row r="270" spans="1:53" x14ac:dyDescent="0.25">
      <c r="A270" s="5"/>
      <c r="B270" s="5"/>
      <c r="C270" s="5"/>
      <c r="D270" s="5"/>
      <c r="E270" s="5"/>
      <c r="F270" s="5"/>
      <c r="G270" s="5"/>
      <c r="H270" s="4"/>
      <c r="I270" s="19"/>
      <c r="J270" s="8"/>
      <c r="K270" s="17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</row>
    <row r="271" spans="1:53" x14ac:dyDescent="0.25">
      <c r="A271" s="5"/>
      <c r="B271" s="5"/>
      <c r="C271" s="5"/>
      <c r="D271" s="5"/>
      <c r="E271" s="5"/>
      <c r="F271" s="5"/>
      <c r="G271" s="5"/>
      <c r="H271" s="4"/>
      <c r="I271" s="19"/>
      <c r="J271" s="8"/>
      <c r="K271" s="17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</row>
    <row r="272" spans="1:53" x14ac:dyDescent="0.25">
      <c r="A272" s="5"/>
      <c r="B272" s="5"/>
      <c r="C272" s="5"/>
      <c r="D272" s="5"/>
      <c r="E272" s="5"/>
      <c r="F272" s="5"/>
      <c r="G272" s="5"/>
      <c r="H272" s="4"/>
      <c r="I272" s="19"/>
      <c r="J272" s="8"/>
      <c r="K272" s="17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</row>
    <row r="273" spans="1:53" x14ac:dyDescent="0.25">
      <c r="A273" s="5"/>
      <c r="B273" s="5"/>
      <c r="C273" s="5"/>
      <c r="D273" s="5"/>
      <c r="E273" s="5"/>
      <c r="F273" s="5"/>
      <c r="G273" s="5"/>
      <c r="H273" s="4"/>
      <c r="I273" s="19"/>
      <c r="J273" s="8"/>
      <c r="K273" s="17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</row>
    <row r="274" spans="1:53" x14ac:dyDescent="0.25">
      <c r="A274" s="5"/>
      <c r="B274" s="5"/>
      <c r="C274" s="5"/>
      <c r="D274" s="5"/>
      <c r="E274" s="5"/>
      <c r="F274" s="5"/>
      <c r="G274" s="5"/>
      <c r="H274" s="4"/>
      <c r="I274" s="19"/>
      <c r="J274" s="8"/>
      <c r="K274" s="17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</row>
    <row r="275" spans="1:53" x14ac:dyDescent="0.25">
      <c r="A275" s="5"/>
      <c r="B275" s="5"/>
      <c r="C275" s="5"/>
      <c r="D275" s="5"/>
      <c r="E275" s="5"/>
      <c r="F275" s="5"/>
      <c r="G275" s="5"/>
      <c r="H275" s="4"/>
      <c r="I275" s="19"/>
      <c r="J275" s="8"/>
      <c r="K275" s="17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</row>
    <row r="276" spans="1:53" x14ac:dyDescent="0.25">
      <c r="A276" s="5"/>
      <c r="B276" s="5"/>
      <c r="C276" s="5"/>
      <c r="D276" s="5"/>
      <c r="E276" s="5"/>
      <c r="F276" s="5"/>
      <c r="G276" s="5"/>
      <c r="H276" s="4"/>
      <c r="I276" s="19"/>
      <c r="J276" s="8"/>
      <c r="K276" s="17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</row>
    <row r="277" spans="1:53" x14ac:dyDescent="0.25">
      <c r="A277" s="5"/>
      <c r="B277" s="5"/>
      <c r="C277" s="5"/>
      <c r="D277" s="5"/>
      <c r="E277" s="5"/>
      <c r="F277" s="5"/>
      <c r="G277" s="5"/>
      <c r="H277" s="4"/>
      <c r="I277" s="19"/>
      <c r="J277" s="8"/>
      <c r="K277" s="17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</row>
    <row r="278" spans="1:53" x14ac:dyDescent="0.25">
      <c r="A278" s="5"/>
      <c r="B278" s="5"/>
      <c r="C278" s="5"/>
      <c r="D278" s="5"/>
      <c r="E278" s="5"/>
      <c r="F278" s="5"/>
      <c r="G278" s="5"/>
      <c r="H278" s="4"/>
      <c r="I278" s="19"/>
      <c r="J278" s="8"/>
      <c r="K278" s="17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</row>
    <row r="279" spans="1:53" x14ac:dyDescent="0.25">
      <c r="A279" s="5"/>
      <c r="B279" s="5"/>
      <c r="C279" s="5"/>
      <c r="D279" s="5"/>
      <c r="E279" s="5"/>
      <c r="F279" s="5"/>
      <c r="G279" s="5"/>
      <c r="H279" s="4"/>
      <c r="I279" s="19"/>
      <c r="J279" s="8"/>
      <c r="K279" s="17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</row>
    <row r="280" spans="1:53" x14ac:dyDescent="0.25">
      <c r="A280" s="5"/>
      <c r="B280" s="5"/>
      <c r="C280" s="5"/>
      <c r="D280" s="5"/>
      <c r="E280" s="5"/>
      <c r="F280" s="5"/>
      <c r="G280" s="5"/>
      <c r="H280" s="4"/>
      <c r="I280" s="19"/>
      <c r="J280" s="8"/>
      <c r="K280" s="17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</row>
    <row r="281" spans="1:53" x14ac:dyDescent="0.25">
      <c r="A281" s="5"/>
      <c r="B281" s="5"/>
      <c r="C281" s="5"/>
      <c r="D281" s="5"/>
      <c r="E281" s="5"/>
      <c r="F281" s="5"/>
      <c r="G281" s="5"/>
      <c r="H281" s="4"/>
      <c r="I281" s="19"/>
      <c r="J281" s="8"/>
      <c r="K281" s="17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</row>
    <row r="282" spans="1:53" x14ac:dyDescent="0.25">
      <c r="A282" s="5"/>
      <c r="B282" s="5"/>
      <c r="C282" s="5"/>
      <c r="D282" s="5"/>
      <c r="E282" s="5"/>
      <c r="F282" s="5"/>
      <c r="G282" s="5"/>
      <c r="H282" s="4"/>
      <c r="I282" s="19"/>
      <c r="J282" s="8"/>
      <c r="K282" s="17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</row>
    <row r="283" spans="1:53" x14ac:dyDescent="0.25">
      <c r="A283" s="5"/>
      <c r="B283" s="5"/>
      <c r="C283" s="5"/>
      <c r="D283" s="5"/>
      <c r="E283" s="5"/>
      <c r="F283" s="5"/>
      <c r="G283" s="5"/>
      <c r="H283" s="4"/>
      <c r="I283" s="19"/>
      <c r="J283" s="8"/>
      <c r="K283" s="17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</row>
    <row r="284" spans="1:53" x14ac:dyDescent="0.25">
      <c r="A284" s="5"/>
      <c r="B284" s="5"/>
      <c r="C284" s="5"/>
      <c r="D284" s="5"/>
      <c r="E284" s="5"/>
      <c r="F284" s="5"/>
      <c r="G284" s="5"/>
      <c r="H284" s="4"/>
      <c r="I284" s="19"/>
      <c r="J284" s="8"/>
      <c r="K284" s="17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</row>
    <row r="285" spans="1:53" x14ac:dyDescent="0.25">
      <c r="A285" s="5"/>
      <c r="B285" s="5"/>
      <c r="C285" s="5"/>
      <c r="D285" s="5"/>
      <c r="E285" s="5"/>
      <c r="F285" s="5"/>
      <c r="G285" s="5"/>
      <c r="H285" s="4"/>
      <c r="I285" s="19"/>
      <c r="J285" s="8"/>
      <c r="K285" s="17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</row>
    <row r="286" spans="1:53" x14ac:dyDescent="0.25">
      <c r="A286" s="5"/>
      <c r="B286" s="5"/>
      <c r="C286" s="5"/>
      <c r="D286" s="5"/>
      <c r="E286" s="5"/>
      <c r="F286" s="5"/>
      <c r="G286" s="5"/>
      <c r="H286" s="4"/>
      <c r="I286" s="19"/>
      <c r="J286" s="8"/>
      <c r="K286" s="17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</row>
    <row r="287" spans="1:53" x14ac:dyDescent="0.25">
      <c r="A287" s="5"/>
      <c r="B287" s="5"/>
      <c r="C287" s="5"/>
      <c r="D287" s="5"/>
      <c r="E287" s="5"/>
      <c r="F287" s="5"/>
      <c r="G287" s="5"/>
      <c r="H287" s="4"/>
      <c r="I287" s="19"/>
      <c r="J287" s="8"/>
      <c r="K287" s="17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</row>
    <row r="288" spans="1:53" x14ac:dyDescent="0.25">
      <c r="A288" s="5"/>
      <c r="B288" s="5"/>
      <c r="C288" s="5"/>
      <c r="D288" s="5"/>
      <c r="E288" s="5"/>
      <c r="F288" s="5"/>
      <c r="G288" s="5"/>
      <c r="H288" s="4"/>
      <c r="I288" s="19"/>
      <c r="J288" s="8"/>
      <c r="K288" s="17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</row>
    <row r="289" spans="1:53" x14ac:dyDescent="0.25">
      <c r="A289" s="5"/>
      <c r="B289" s="5"/>
      <c r="C289" s="5"/>
      <c r="D289" s="5"/>
      <c r="E289" s="5"/>
      <c r="F289" s="5"/>
      <c r="G289" s="5"/>
      <c r="H289" s="4"/>
      <c r="I289" s="19"/>
      <c r="J289" s="8"/>
      <c r="K289" s="17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</row>
    <row r="290" spans="1:53" x14ac:dyDescent="0.25">
      <c r="A290" s="5"/>
      <c r="B290" s="5"/>
      <c r="C290" s="5"/>
      <c r="D290" s="5"/>
      <c r="E290" s="5"/>
      <c r="F290" s="5"/>
      <c r="G290" s="5"/>
      <c r="H290" s="4"/>
      <c r="I290" s="19"/>
      <c r="J290" s="8"/>
      <c r="K290" s="17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</row>
    <row r="291" spans="1:53" x14ac:dyDescent="0.25">
      <c r="A291" s="5"/>
      <c r="B291" s="5"/>
      <c r="C291" s="5"/>
      <c r="D291" s="5"/>
      <c r="E291" s="5"/>
      <c r="F291" s="5"/>
      <c r="G291" s="5"/>
      <c r="H291" s="4"/>
      <c r="I291" s="19"/>
      <c r="J291" s="8"/>
      <c r="K291" s="17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</row>
    <row r="292" spans="1:53" x14ac:dyDescent="0.25">
      <c r="A292" s="5"/>
      <c r="B292" s="5"/>
      <c r="C292" s="5"/>
      <c r="D292" s="5"/>
      <c r="E292" s="5"/>
      <c r="F292" s="5"/>
      <c r="G292" s="5"/>
      <c r="H292" s="4"/>
      <c r="I292" s="19"/>
      <c r="J292" s="8"/>
      <c r="K292" s="17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</row>
    <row r="293" spans="1:53" x14ac:dyDescent="0.25">
      <c r="A293" s="5"/>
      <c r="B293" s="5"/>
      <c r="C293" s="5"/>
      <c r="D293" s="5"/>
      <c r="E293" s="5"/>
      <c r="F293" s="5"/>
      <c r="G293" s="5"/>
      <c r="H293" s="4"/>
      <c r="I293" s="19"/>
      <c r="J293" s="8"/>
      <c r="K293" s="17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</row>
    <row r="294" spans="1:53" x14ac:dyDescent="0.25">
      <c r="A294" s="5"/>
      <c r="B294" s="5"/>
      <c r="C294" s="5"/>
      <c r="D294" s="5"/>
      <c r="E294" s="5"/>
      <c r="F294" s="5"/>
      <c r="G294" s="5"/>
      <c r="H294" s="4"/>
      <c r="I294" s="19"/>
      <c r="J294" s="8"/>
      <c r="K294" s="17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</row>
    <row r="295" spans="1:53" x14ac:dyDescent="0.25">
      <c r="A295" s="5"/>
      <c r="B295" s="5"/>
      <c r="C295" s="5"/>
      <c r="D295" s="5"/>
      <c r="E295" s="5"/>
      <c r="F295" s="5"/>
      <c r="G295" s="5"/>
      <c r="H295" s="4"/>
      <c r="I295" s="19"/>
      <c r="J295" s="8"/>
      <c r="K295" s="17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</row>
    <row r="296" spans="1:53" x14ac:dyDescent="0.25">
      <c r="A296" s="5"/>
      <c r="B296" s="5"/>
      <c r="C296" s="5"/>
      <c r="D296" s="5"/>
      <c r="E296" s="5"/>
      <c r="F296" s="5"/>
      <c r="G296" s="5"/>
      <c r="H296" s="4"/>
      <c r="I296" s="19"/>
      <c r="J296" s="8"/>
      <c r="K296" s="17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</row>
    <row r="297" spans="1:53" x14ac:dyDescent="0.25">
      <c r="A297" s="5"/>
      <c r="B297" s="5"/>
      <c r="C297" s="5"/>
      <c r="D297" s="5"/>
      <c r="E297" s="5"/>
      <c r="F297" s="5"/>
      <c r="G297" s="5"/>
      <c r="H297" s="4"/>
      <c r="I297" s="19"/>
      <c r="J297" s="8"/>
      <c r="K297" s="17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</row>
    <row r="298" spans="1:53" x14ac:dyDescent="0.25">
      <c r="A298" s="5"/>
      <c r="B298" s="5"/>
      <c r="C298" s="5"/>
      <c r="D298" s="5"/>
      <c r="E298" s="5"/>
      <c r="F298" s="5"/>
      <c r="G298" s="5"/>
      <c r="H298" s="4"/>
      <c r="I298" s="19"/>
      <c r="J298" s="8"/>
      <c r="K298" s="17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</row>
    <row r="299" spans="1:53" x14ac:dyDescent="0.25">
      <c r="A299" s="5"/>
      <c r="B299" s="5"/>
      <c r="C299" s="5"/>
      <c r="D299" s="5"/>
      <c r="E299" s="5"/>
      <c r="F299" s="5"/>
      <c r="G299" s="5"/>
      <c r="H299" s="4"/>
      <c r="I299" s="19"/>
      <c r="J299" s="8"/>
      <c r="K299" s="17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</row>
    <row r="300" spans="1:53" x14ac:dyDescent="0.25">
      <c r="A300" s="5"/>
      <c r="B300" s="5"/>
      <c r="C300" s="5"/>
      <c r="D300" s="5"/>
      <c r="E300" s="5"/>
      <c r="F300" s="5"/>
      <c r="G300" s="5"/>
      <c r="H300" s="4"/>
      <c r="I300" s="19"/>
      <c r="J300" s="8"/>
      <c r="K300" s="17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</row>
    <row r="301" spans="1:53" x14ac:dyDescent="0.25">
      <c r="A301" s="5"/>
      <c r="B301" s="5"/>
      <c r="C301" s="5"/>
      <c r="D301" s="5"/>
      <c r="E301" s="5"/>
      <c r="F301" s="5"/>
      <c r="G301" s="5"/>
      <c r="H301" s="4"/>
      <c r="I301" s="19"/>
      <c r="J301" s="8"/>
      <c r="K301" s="17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</row>
    <row r="302" spans="1:53" x14ac:dyDescent="0.25">
      <c r="A302" s="5"/>
      <c r="B302" s="5"/>
      <c r="C302" s="5"/>
      <c r="D302" s="5"/>
      <c r="E302" s="5"/>
      <c r="F302" s="5"/>
      <c r="G302" s="5"/>
      <c r="H302" s="4"/>
      <c r="I302" s="19"/>
      <c r="J302" s="8"/>
      <c r="K302" s="17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</row>
    <row r="303" spans="1:53" x14ac:dyDescent="0.25">
      <c r="A303" s="5"/>
      <c r="B303" s="5"/>
      <c r="C303" s="5"/>
      <c r="D303" s="5"/>
      <c r="E303" s="5"/>
      <c r="F303" s="5"/>
      <c r="G303" s="5"/>
      <c r="H303" s="4"/>
      <c r="I303" s="19"/>
      <c r="J303" s="8"/>
      <c r="K303" s="17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</row>
    <row r="304" spans="1:53" x14ac:dyDescent="0.25">
      <c r="A304" s="5"/>
      <c r="B304" s="5"/>
      <c r="C304" s="5"/>
      <c r="D304" s="5"/>
      <c r="E304" s="5"/>
      <c r="F304" s="5"/>
      <c r="G304" s="5"/>
      <c r="H304" s="4"/>
      <c r="I304" s="19"/>
      <c r="J304" s="8"/>
      <c r="K304" s="17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</row>
    <row r="305" spans="1:53" x14ac:dyDescent="0.25">
      <c r="A305" s="5"/>
      <c r="B305" s="5"/>
      <c r="C305" s="5"/>
      <c r="D305" s="5"/>
      <c r="E305" s="5"/>
      <c r="F305" s="5"/>
      <c r="G305" s="5"/>
      <c r="H305" s="4"/>
      <c r="I305" s="19"/>
      <c r="J305" s="8"/>
      <c r="K305" s="17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</row>
    <row r="306" spans="1:53" x14ac:dyDescent="0.25">
      <c r="A306" s="5"/>
      <c r="B306" s="5"/>
      <c r="C306" s="5"/>
      <c r="D306" s="5"/>
      <c r="E306" s="5"/>
      <c r="F306" s="5"/>
      <c r="G306" s="5"/>
      <c r="H306" s="4"/>
      <c r="I306" s="19"/>
      <c r="J306" s="8"/>
      <c r="K306" s="17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</row>
    <row r="307" spans="1:53" x14ac:dyDescent="0.25">
      <c r="A307" s="5"/>
      <c r="B307" s="5"/>
      <c r="C307" s="5"/>
      <c r="D307" s="5"/>
      <c r="E307" s="5"/>
      <c r="F307" s="5"/>
      <c r="G307" s="5"/>
      <c r="H307" s="4"/>
      <c r="I307" s="19"/>
      <c r="J307" s="8"/>
      <c r="K307" s="17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</row>
    <row r="308" spans="1:53" x14ac:dyDescent="0.25">
      <c r="A308" s="5"/>
      <c r="B308" s="5"/>
      <c r="C308" s="5"/>
      <c r="D308" s="5"/>
      <c r="E308" s="5"/>
      <c r="F308" s="5"/>
      <c r="G308" s="5"/>
      <c r="H308" s="4"/>
      <c r="I308" s="19"/>
      <c r="J308" s="8"/>
      <c r="K308" s="17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</row>
    <row r="309" spans="1:53" x14ac:dyDescent="0.25">
      <c r="A309" s="5"/>
      <c r="B309" s="5"/>
      <c r="C309" s="5"/>
      <c r="D309" s="5"/>
      <c r="E309" s="5"/>
      <c r="F309" s="5"/>
      <c r="G309" s="5"/>
      <c r="H309" s="4"/>
      <c r="I309" s="19"/>
      <c r="J309" s="8"/>
      <c r="K309" s="17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</row>
    <row r="310" spans="1:53" x14ac:dyDescent="0.25">
      <c r="A310" s="5"/>
      <c r="B310" s="5"/>
      <c r="C310" s="5"/>
      <c r="D310" s="5"/>
      <c r="E310" s="5"/>
      <c r="F310" s="5"/>
      <c r="G310" s="5"/>
      <c r="H310" s="4"/>
      <c r="I310" s="19"/>
      <c r="J310" s="8"/>
      <c r="K310" s="17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</row>
    <row r="311" spans="1:53" x14ac:dyDescent="0.25">
      <c r="A311" s="5"/>
      <c r="B311" s="5"/>
      <c r="C311" s="5"/>
      <c r="D311" s="5"/>
      <c r="E311" s="5"/>
      <c r="F311" s="5"/>
      <c r="G311" s="5"/>
      <c r="H311" s="4"/>
      <c r="I311" s="19"/>
      <c r="J311" s="8"/>
      <c r="K311" s="17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</row>
    <row r="312" spans="1:53" x14ac:dyDescent="0.25">
      <c r="A312" s="5"/>
      <c r="B312" s="5"/>
      <c r="C312" s="5"/>
      <c r="D312" s="5"/>
      <c r="E312" s="5"/>
      <c r="F312" s="5"/>
      <c r="G312" s="5"/>
      <c r="H312" s="4"/>
      <c r="I312" s="19"/>
      <c r="J312" s="8"/>
      <c r="K312" s="17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</row>
    <row r="313" spans="1:53" x14ac:dyDescent="0.25">
      <c r="A313" s="5"/>
      <c r="B313" s="5"/>
      <c r="C313" s="5"/>
      <c r="D313" s="5"/>
      <c r="E313" s="5"/>
      <c r="F313" s="5"/>
      <c r="G313" s="5"/>
      <c r="H313" s="4"/>
      <c r="I313" s="19"/>
      <c r="J313" s="8"/>
      <c r="K313" s="17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</row>
    <row r="314" spans="1:53" x14ac:dyDescent="0.25">
      <c r="A314" s="5"/>
      <c r="B314" s="5"/>
      <c r="C314" s="5"/>
      <c r="D314" s="5"/>
      <c r="E314" s="5"/>
      <c r="F314" s="5"/>
      <c r="G314" s="5"/>
      <c r="H314" s="4"/>
      <c r="I314" s="19"/>
      <c r="J314" s="8"/>
      <c r="K314" s="17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</row>
    <row r="315" spans="1:53" x14ac:dyDescent="0.25">
      <c r="A315" s="5"/>
      <c r="B315" s="5"/>
      <c r="C315" s="5"/>
      <c r="D315" s="5"/>
      <c r="E315" s="5"/>
      <c r="F315" s="5"/>
      <c r="G315" s="5"/>
      <c r="H315" s="4"/>
      <c r="I315" s="19"/>
      <c r="J315" s="8"/>
      <c r="K315" s="17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</row>
    <row r="316" spans="1:53" x14ac:dyDescent="0.25">
      <c r="A316" s="5"/>
      <c r="B316" s="5"/>
      <c r="C316" s="5"/>
      <c r="D316" s="5"/>
      <c r="E316" s="5"/>
      <c r="F316" s="5"/>
      <c r="G316" s="5"/>
      <c r="H316" s="4"/>
      <c r="I316" s="19"/>
      <c r="J316" s="8"/>
      <c r="K316" s="17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</row>
    <row r="317" spans="1:53" x14ac:dyDescent="0.25">
      <c r="A317" s="5"/>
      <c r="B317" s="5"/>
      <c r="C317" s="5"/>
      <c r="D317" s="5"/>
      <c r="E317" s="5"/>
      <c r="F317" s="5"/>
      <c r="G317" s="5"/>
      <c r="H317" s="4"/>
      <c r="I317" s="19"/>
      <c r="J317" s="8"/>
      <c r="K317" s="17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</row>
    <row r="318" spans="1:53" x14ac:dyDescent="0.25">
      <c r="A318" s="5"/>
      <c r="B318" s="5"/>
      <c r="C318" s="5"/>
      <c r="D318" s="5"/>
      <c r="E318" s="5"/>
      <c r="F318" s="5"/>
      <c r="G318" s="5"/>
      <c r="H318" s="4"/>
      <c r="I318" s="19"/>
      <c r="J318" s="8"/>
      <c r="K318" s="17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</row>
    <row r="319" spans="1:53" x14ac:dyDescent="0.25">
      <c r="A319" s="5"/>
      <c r="B319" s="5"/>
      <c r="C319" s="5"/>
      <c r="D319" s="5"/>
      <c r="E319" s="5"/>
      <c r="F319" s="5"/>
      <c r="G319" s="5"/>
      <c r="H319" s="4"/>
      <c r="I319" s="19"/>
      <c r="J319" s="8"/>
      <c r="K319" s="17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</row>
    <row r="320" spans="1:53" x14ac:dyDescent="0.25">
      <c r="A320" s="5"/>
      <c r="B320" s="5"/>
      <c r="C320" s="5"/>
      <c r="D320" s="5"/>
      <c r="E320" s="5"/>
      <c r="F320" s="5"/>
      <c r="G320" s="5"/>
      <c r="H320" s="4"/>
      <c r="I320" s="19"/>
      <c r="J320" s="8"/>
      <c r="K320" s="17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</row>
    <row r="321" spans="1:53" x14ac:dyDescent="0.25">
      <c r="A321" s="5"/>
      <c r="B321" s="5"/>
      <c r="C321" s="5"/>
      <c r="D321" s="5"/>
      <c r="E321" s="5"/>
      <c r="F321" s="5"/>
      <c r="G321" s="5"/>
      <c r="H321" s="4"/>
      <c r="I321" s="19"/>
      <c r="J321" s="8"/>
      <c r="K321" s="17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</row>
    <row r="322" spans="1:53" x14ac:dyDescent="0.25">
      <c r="A322" s="5"/>
      <c r="B322" s="5"/>
      <c r="C322" s="5"/>
      <c r="D322" s="5"/>
      <c r="E322" s="5"/>
      <c r="F322" s="5"/>
      <c r="G322" s="5"/>
      <c r="H322" s="4"/>
      <c r="I322" s="19"/>
      <c r="J322" s="8"/>
      <c r="K322" s="17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</row>
    <row r="323" spans="1:53" x14ac:dyDescent="0.25">
      <c r="A323" s="5"/>
      <c r="B323" s="5"/>
      <c r="C323" s="5"/>
      <c r="D323" s="5"/>
      <c r="E323" s="5"/>
      <c r="F323" s="5"/>
      <c r="G323" s="5"/>
      <c r="H323" s="4"/>
      <c r="I323" s="19"/>
      <c r="J323" s="8"/>
      <c r="K323" s="17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</row>
    <row r="324" spans="1:53" x14ac:dyDescent="0.25">
      <c r="A324" s="5"/>
      <c r="B324" s="5"/>
      <c r="C324" s="5"/>
      <c r="D324" s="5"/>
      <c r="E324" s="5"/>
      <c r="F324" s="5"/>
      <c r="G324" s="5"/>
      <c r="H324" s="4"/>
      <c r="I324" s="19"/>
      <c r="J324" s="8"/>
      <c r="K324" s="17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</row>
    <row r="325" spans="1:53" x14ac:dyDescent="0.25">
      <c r="A325" s="5"/>
      <c r="B325" s="5"/>
      <c r="C325" s="5"/>
      <c r="D325" s="5"/>
      <c r="E325" s="5"/>
      <c r="F325" s="5"/>
      <c r="G325" s="5"/>
      <c r="H325" s="4"/>
      <c r="I325" s="19"/>
      <c r="J325" s="8"/>
      <c r="K325" s="17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</row>
    <row r="326" spans="1:53" x14ac:dyDescent="0.25">
      <c r="A326" s="5"/>
      <c r="B326" s="5"/>
      <c r="C326" s="5"/>
      <c r="D326" s="5"/>
      <c r="E326" s="5"/>
      <c r="F326" s="5"/>
      <c r="G326" s="5"/>
      <c r="H326" s="4"/>
      <c r="I326" s="19"/>
      <c r="J326" s="8"/>
      <c r="K326" s="17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</row>
    <row r="327" spans="1:53" x14ac:dyDescent="0.25">
      <c r="A327" s="5"/>
      <c r="B327" s="5"/>
      <c r="C327" s="5"/>
      <c r="D327" s="5"/>
      <c r="E327" s="5"/>
      <c r="F327" s="5"/>
      <c r="G327" s="5"/>
      <c r="H327" s="4"/>
      <c r="I327" s="19"/>
      <c r="J327" s="8"/>
      <c r="K327" s="17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</row>
    <row r="328" spans="1:53" x14ac:dyDescent="0.25">
      <c r="A328" s="5"/>
      <c r="B328" s="5"/>
      <c r="C328" s="5"/>
      <c r="D328" s="5"/>
      <c r="E328" s="5"/>
      <c r="F328" s="5"/>
      <c r="G328" s="5"/>
      <c r="H328" s="4"/>
      <c r="I328" s="19"/>
      <c r="J328" s="8"/>
      <c r="K328" s="17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</row>
    <row r="329" spans="1:53" x14ac:dyDescent="0.25">
      <c r="A329" s="5"/>
      <c r="B329" s="5"/>
      <c r="C329" s="5"/>
      <c r="D329" s="5"/>
      <c r="E329" s="5"/>
      <c r="F329" s="5"/>
      <c r="G329" s="5"/>
      <c r="H329" s="4"/>
      <c r="I329" s="19"/>
      <c r="J329" s="8"/>
      <c r="K329" s="17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</row>
    <row r="330" spans="1:53" x14ac:dyDescent="0.25">
      <c r="A330" s="5"/>
      <c r="B330" s="5"/>
      <c r="C330" s="5"/>
      <c r="D330" s="5"/>
      <c r="E330" s="5"/>
      <c r="F330" s="5"/>
      <c r="G330" s="5"/>
      <c r="H330" s="4"/>
      <c r="I330" s="19"/>
      <c r="J330" s="8"/>
      <c r="K330" s="17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</row>
    <row r="331" spans="1:53" x14ac:dyDescent="0.25">
      <c r="A331" s="5"/>
      <c r="B331" s="5"/>
      <c r="C331" s="5"/>
      <c r="D331" s="5"/>
      <c r="E331" s="5"/>
      <c r="F331" s="5"/>
      <c r="G331" s="5"/>
      <c r="H331" s="4"/>
      <c r="I331" s="19"/>
      <c r="J331" s="8"/>
      <c r="K331" s="17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</row>
    <row r="332" spans="1:53" x14ac:dyDescent="0.25">
      <c r="A332" s="5"/>
      <c r="B332" s="5"/>
      <c r="C332" s="5"/>
      <c r="D332" s="5"/>
      <c r="E332" s="5"/>
      <c r="F332" s="5"/>
      <c r="G332" s="5"/>
      <c r="H332" s="4"/>
      <c r="I332" s="19"/>
      <c r="J332" s="8"/>
      <c r="K332" s="17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</row>
    <row r="333" spans="1:53" x14ac:dyDescent="0.25">
      <c r="A333" s="5"/>
      <c r="B333" s="5"/>
      <c r="C333" s="5"/>
      <c r="D333" s="5"/>
      <c r="E333" s="5"/>
      <c r="F333" s="5"/>
      <c r="G333" s="5"/>
      <c r="H333" s="4"/>
      <c r="I333" s="19"/>
      <c r="J333" s="8"/>
      <c r="K333" s="17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</row>
    <row r="334" spans="1:53" x14ac:dyDescent="0.25">
      <c r="A334" s="5"/>
      <c r="B334" s="5"/>
      <c r="C334" s="5"/>
      <c r="D334" s="5"/>
      <c r="E334" s="5"/>
      <c r="F334" s="5"/>
      <c r="G334" s="5"/>
      <c r="H334" s="4"/>
      <c r="I334" s="19"/>
      <c r="J334" s="8"/>
      <c r="K334" s="17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</row>
    <row r="335" spans="1:53" x14ac:dyDescent="0.25">
      <c r="A335" s="5"/>
      <c r="B335" s="5"/>
      <c r="C335" s="5"/>
      <c r="D335" s="5"/>
      <c r="E335" s="5"/>
      <c r="F335" s="5"/>
      <c r="G335" s="5"/>
      <c r="H335" s="4"/>
      <c r="I335" s="19"/>
      <c r="J335" s="8"/>
      <c r="K335" s="17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</row>
    <row r="336" spans="1:53" x14ac:dyDescent="0.25">
      <c r="A336" s="5"/>
      <c r="B336" s="5"/>
      <c r="C336" s="5"/>
      <c r="D336" s="5"/>
      <c r="E336" s="5"/>
      <c r="F336" s="5"/>
      <c r="G336" s="5"/>
      <c r="H336" s="4"/>
      <c r="I336" s="19"/>
      <c r="J336" s="8"/>
      <c r="K336" s="17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</row>
    <row r="337" spans="1:53" x14ac:dyDescent="0.25">
      <c r="A337" s="5"/>
      <c r="B337" s="5"/>
      <c r="C337" s="5"/>
      <c r="D337" s="5"/>
      <c r="E337" s="5"/>
      <c r="F337" s="5"/>
      <c r="G337" s="5"/>
      <c r="H337" s="4"/>
      <c r="I337" s="19"/>
      <c r="J337" s="8"/>
      <c r="K337" s="17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</row>
    <row r="338" spans="1:53" x14ac:dyDescent="0.25">
      <c r="A338" s="5"/>
      <c r="B338" s="5"/>
      <c r="C338" s="5"/>
      <c r="D338" s="5"/>
      <c r="E338" s="5"/>
      <c r="F338" s="5"/>
      <c r="G338" s="5"/>
      <c r="H338" s="4"/>
      <c r="I338" s="19"/>
      <c r="J338" s="8"/>
      <c r="K338" s="17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</row>
    <row r="339" spans="1:53" x14ac:dyDescent="0.25">
      <c r="A339" s="5"/>
      <c r="B339" s="5"/>
      <c r="C339" s="5"/>
      <c r="D339" s="5"/>
      <c r="E339" s="5"/>
      <c r="F339" s="5"/>
      <c r="G339" s="5"/>
      <c r="H339" s="4"/>
      <c r="I339" s="19"/>
      <c r="J339" s="8"/>
      <c r="K339" s="17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</row>
    <row r="340" spans="1:53" x14ac:dyDescent="0.25">
      <c r="A340" s="5"/>
      <c r="B340" s="5"/>
      <c r="C340" s="5"/>
      <c r="D340" s="5"/>
      <c r="E340" s="5"/>
      <c r="F340" s="5"/>
      <c r="G340" s="5"/>
      <c r="H340" s="4"/>
      <c r="I340" s="19"/>
      <c r="J340" s="8"/>
      <c r="K340" s="17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</row>
    <row r="341" spans="1:53" x14ac:dyDescent="0.25">
      <c r="A341" s="5"/>
      <c r="B341" s="5"/>
      <c r="C341" s="5"/>
      <c r="D341" s="5"/>
      <c r="E341" s="5"/>
      <c r="F341" s="5"/>
      <c r="G341" s="5"/>
      <c r="H341" s="4"/>
      <c r="I341" s="19"/>
      <c r="J341" s="8"/>
      <c r="K341" s="17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</row>
    <row r="342" spans="1:53" x14ac:dyDescent="0.25">
      <c r="A342" s="5"/>
      <c r="B342" s="5"/>
      <c r="C342" s="5"/>
      <c r="D342" s="5"/>
      <c r="E342" s="5"/>
      <c r="F342" s="5"/>
      <c r="G342" s="5"/>
      <c r="H342" s="4"/>
      <c r="I342" s="19"/>
      <c r="J342" s="8"/>
      <c r="K342" s="17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</row>
    <row r="343" spans="1:53" x14ac:dyDescent="0.25">
      <c r="A343" s="5"/>
      <c r="B343" s="5"/>
      <c r="C343" s="5"/>
      <c r="D343" s="5"/>
      <c r="E343" s="5"/>
      <c r="F343" s="5"/>
      <c r="G343" s="5"/>
      <c r="H343" s="4"/>
      <c r="I343" s="19"/>
      <c r="J343" s="8"/>
      <c r="K343" s="17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</row>
    <row r="344" spans="1:53" x14ac:dyDescent="0.25">
      <c r="A344" s="5"/>
      <c r="B344" s="5"/>
      <c r="C344" s="5"/>
      <c r="D344" s="5"/>
      <c r="E344" s="5"/>
      <c r="F344" s="5"/>
      <c r="G344" s="5"/>
      <c r="H344" s="4"/>
      <c r="I344" s="19"/>
      <c r="J344" s="8"/>
      <c r="K344" s="17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</row>
    <row r="345" spans="1:53" x14ac:dyDescent="0.25">
      <c r="A345" s="5"/>
      <c r="B345" s="5"/>
      <c r="C345" s="5"/>
      <c r="D345" s="5"/>
      <c r="E345" s="5"/>
      <c r="F345" s="5"/>
      <c r="G345" s="5"/>
      <c r="H345" s="4"/>
      <c r="I345" s="19"/>
      <c r="J345" s="8"/>
      <c r="K345" s="17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</row>
    <row r="346" spans="1:53" x14ac:dyDescent="0.25">
      <c r="A346" s="5"/>
      <c r="B346" s="5"/>
      <c r="C346" s="5"/>
      <c r="D346" s="5"/>
      <c r="E346" s="5"/>
      <c r="F346" s="5"/>
      <c r="G346" s="5"/>
      <c r="H346" s="4"/>
      <c r="I346" s="19"/>
      <c r="J346" s="8"/>
      <c r="K346" s="17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</row>
    <row r="347" spans="1:53" x14ac:dyDescent="0.25">
      <c r="A347" s="5"/>
      <c r="B347" s="5"/>
      <c r="C347" s="5"/>
      <c r="D347" s="5"/>
      <c r="E347" s="5"/>
      <c r="F347" s="5"/>
      <c r="G347" s="5"/>
      <c r="H347" s="4"/>
      <c r="I347" s="19"/>
      <c r="J347" s="8"/>
      <c r="K347" s="17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</row>
    <row r="348" spans="1:53" x14ac:dyDescent="0.25">
      <c r="A348" s="5"/>
      <c r="B348" s="5"/>
      <c r="C348" s="5"/>
      <c r="D348" s="5"/>
      <c r="E348" s="5"/>
      <c r="F348" s="5"/>
      <c r="G348" s="5"/>
      <c r="H348" s="4"/>
      <c r="I348" s="19"/>
      <c r="J348" s="8"/>
      <c r="K348" s="17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</row>
    <row r="349" spans="1:53" x14ac:dyDescent="0.25">
      <c r="A349" s="5"/>
      <c r="B349" s="5"/>
      <c r="C349" s="5"/>
      <c r="D349" s="5"/>
      <c r="E349" s="5"/>
      <c r="F349" s="5"/>
      <c r="G349" s="5"/>
      <c r="H349" s="4"/>
      <c r="I349" s="19"/>
      <c r="J349" s="8"/>
      <c r="K349" s="17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</row>
    <row r="350" spans="1:53" x14ac:dyDescent="0.25">
      <c r="A350" s="5"/>
      <c r="B350" s="5"/>
      <c r="C350" s="5"/>
      <c r="D350" s="5"/>
      <c r="E350" s="5"/>
      <c r="F350" s="5"/>
      <c r="G350" s="5"/>
      <c r="H350" s="4"/>
      <c r="I350" s="19"/>
      <c r="J350" s="8"/>
      <c r="K350" s="17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</row>
    <row r="351" spans="1:53" x14ac:dyDescent="0.25">
      <c r="A351" s="5"/>
      <c r="B351" s="5"/>
      <c r="C351" s="5"/>
      <c r="D351" s="5"/>
      <c r="E351" s="5"/>
      <c r="F351" s="5"/>
      <c r="G351" s="5"/>
      <c r="H351" s="4"/>
      <c r="I351" s="19"/>
      <c r="J351" s="8"/>
      <c r="K351" s="17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</row>
    <row r="352" spans="1:53" x14ac:dyDescent="0.25">
      <c r="A352" s="5"/>
      <c r="B352" s="5"/>
      <c r="C352" s="5"/>
      <c r="D352" s="5"/>
      <c r="E352" s="5"/>
      <c r="F352" s="5"/>
      <c r="G352" s="5"/>
      <c r="H352" s="4"/>
      <c r="I352" s="19"/>
      <c r="J352" s="8"/>
      <c r="K352" s="17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</row>
    <row r="353" spans="1:53" x14ac:dyDescent="0.25">
      <c r="A353" s="5"/>
      <c r="B353" s="5"/>
      <c r="C353" s="5"/>
      <c r="D353" s="5"/>
      <c r="E353" s="5"/>
      <c r="F353" s="5"/>
      <c r="G353" s="5"/>
      <c r="H353" s="4"/>
      <c r="I353" s="19"/>
      <c r="J353" s="8"/>
      <c r="K353" s="17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</row>
    <row r="354" spans="1:53" x14ac:dyDescent="0.25">
      <c r="A354" s="5"/>
      <c r="B354" s="5"/>
      <c r="C354" s="5"/>
      <c r="D354" s="5"/>
      <c r="E354" s="5"/>
      <c r="F354" s="5"/>
      <c r="G354" s="5"/>
      <c r="H354" s="4"/>
      <c r="I354" s="19"/>
      <c r="J354" s="8"/>
      <c r="K354" s="17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</row>
    <row r="355" spans="1:53" x14ac:dyDescent="0.25">
      <c r="A355" s="5"/>
      <c r="B355" s="5"/>
      <c r="C355" s="5"/>
      <c r="D355" s="5"/>
      <c r="E355" s="5"/>
      <c r="F355" s="5"/>
      <c r="G355" s="5"/>
      <c r="H355" s="4"/>
      <c r="I355" s="19"/>
      <c r="J355" s="8"/>
      <c r="K355" s="17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</row>
    <row r="356" spans="1:53" x14ac:dyDescent="0.25">
      <c r="A356" s="5"/>
      <c r="B356" s="5"/>
      <c r="C356" s="5"/>
      <c r="D356" s="5"/>
      <c r="E356" s="5"/>
      <c r="F356" s="5"/>
      <c r="G356" s="5"/>
      <c r="H356" s="4"/>
      <c r="I356" s="19"/>
      <c r="J356" s="8"/>
      <c r="K356" s="17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</row>
    <row r="357" spans="1:53" x14ac:dyDescent="0.25">
      <c r="A357" s="5"/>
      <c r="B357" s="5"/>
      <c r="C357" s="5"/>
      <c r="D357" s="5"/>
      <c r="E357" s="5"/>
      <c r="F357" s="5"/>
      <c r="G357" s="5"/>
      <c r="H357" s="4"/>
      <c r="I357" s="19"/>
      <c r="J357" s="8"/>
      <c r="K357" s="17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</row>
    <row r="358" spans="1:53" x14ac:dyDescent="0.25">
      <c r="A358" s="5"/>
      <c r="B358" s="5"/>
      <c r="C358" s="5"/>
      <c r="D358" s="5"/>
      <c r="E358" s="5"/>
      <c r="F358" s="5"/>
      <c r="G358" s="5"/>
      <c r="H358" s="4"/>
      <c r="I358" s="19"/>
      <c r="J358" s="8"/>
      <c r="K358" s="17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</row>
    <row r="359" spans="1:53" x14ac:dyDescent="0.25">
      <c r="A359" s="5"/>
      <c r="B359" s="5"/>
      <c r="C359" s="5"/>
      <c r="D359" s="5"/>
      <c r="E359" s="5"/>
      <c r="F359" s="5"/>
      <c r="G359" s="5"/>
      <c r="H359" s="4"/>
      <c r="I359" s="19"/>
      <c r="J359" s="8"/>
      <c r="K359" s="17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</row>
    <row r="360" spans="1:53" x14ac:dyDescent="0.25">
      <c r="A360" s="5"/>
      <c r="B360" s="5"/>
      <c r="C360" s="5"/>
      <c r="D360" s="5"/>
      <c r="E360" s="5"/>
      <c r="F360" s="5"/>
      <c r="G360" s="5"/>
      <c r="H360" s="4"/>
      <c r="I360" s="19"/>
      <c r="J360" s="8"/>
      <c r="K360" s="17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</row>
    <row r="361" spans="1:53" x14ac:dyDescent="0.25">
      <c r="A361" s="5"/>
      <c r="B361" s="5"/>
      <c r="C361" s="5"/>
      <c r="D361" s="5"/>
      <c r="E361" s="5"/>
      <c r="F361" s="5"/>
      <c r="G361" s="5"/>
      <c r="H361" s="4"/>
      <c r="I361" s="19"/>
      <c r="J361" s="8"/>
      <c r="K361" s="17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</row>
    <row r="362" spans="1:53" x14ac:dyDescent="0.25">
      <c r="A362" s="5"/>
      <c r="B362" s="5"/>
      <c r="C362" s="5"/>
      <c r="D362" s="5"/>
      <c r="E362" s="5"/>
      <c r="F362" s="5"/>
      <c r="G362" s="5"/>
      <c r="H362" s="4"/>
      <c r="I362" s="19"/>
      <c r="J362" s="8"/>
      <c r="K362" s="17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</row>
    <row r="363" spans="1:53" x14ac:dyDescent="0.25">
      <c r="A363" s="5"/>
      <c r="B363" s="5"/>
      <c r="C363" s="5"/>
      <c r="D363" s="5"/>
      <c r="E363" s="5"/>
      <c r="F363" s="5"/>
      <c r="G363" s="5"/>
      <c r="H363" s="4"/>
      <c r="I363" s="19"/>
      <c r="J363" s="8"/>
      <c r="K363" s="17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</row>
    <row r="364" spans="1:53" x14ac:dyDescent="0.25">
      <c r="A364" s="5"/>
      <c r="B364" s="5"/>
      <c r="C364" s="5"/>
      <c r="D364" s="5"/>
      <c r="E364" s="5"/>
      <c r="F364" s="5"/>
      <c r="G364" s="5"/>
      <c r="H364" s="4"/>
      <c r="I364" s="19"/>
      <c r="J364" s="8"/>
      <c r="K364" s="17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</row>
    <row r="365" spans="1:53" x14ac:dyDescent="0.25">
      <c r="A365" s="5"/>
      <c r="B365" s="5"/>
      <c r="C365" s="5"/>
      <c r="D365" s="5"/>
      <c r="E365" s="5"/>
      <c r="F365" s="5"/>
      <c r="G365" s="5"/>
      <c r="H365" s="4"/>
      <c r="I365" s="19"/>
      <c r="J365" s="8"/>
      <c r="K365" s="17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</row>
    <row r="366" spans="1:53" x14ac:dyDescent="0.25">
      <c r="A366" s="5"/>
      <c r="B366" s="5"/>
      <c r="C366" s="5"/>
      <c r="D366" s="5"/>
      <c r="E366" s="5"/>
      <c r="F366" s="5"/>
      <c r="G366" s="5"/>
      <c r="H366" s="4"/>
      <c r="I366" s="19"/>
      <c r="J366" s="8"/>
      <c r="K366" s="17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</row>
    <row r="367" spans="1:53" x14ac:dyDescent="0.25">
      <c r="A367" s="5"/>
      <c r="B367" s="5"/>
      <c r="C367" s="5"/>
      <c r="D367" s="5"/>
      <c r="E367" s="5"/>
      <c r="F367" s="5"/>
      <c r="G367" s="5"/>
      <c r="H367" s="4"/>
      <c r="I367" s="19"/>
      <c r="J367" s="8"/>
      <c r="K367" s="17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</row>
    <row r="368" spans="1:53" x14ac:dyDescent="0.25">
      <c r="A368" s="5"/>
      <c r="B368" s="5"/>
      <c r="C368" s="5"/>
      <c r="D368" s="5"/>
      <c r="E368" s="5"/>
      <c r="F368" s="5"/>
      <c r="G368" s="5"/>
      <c r="H368" s="4"/>
      <c r="I368" s="19"/>
      <c r="J368" s="8"/>
      <c r="K368" s="17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</row>
    <row r="369" spans="1:53" x14ac:dyDescent="0.25">
      <c r="A369" s="5"/>
      <c r="B369" s="5"/>
      <c r="C369" s="5"/>
      <c r="D369" s="5"/>
      <c r="E369" s="5"/>
      <c r="F369" s="5"/>
      <c r="G369" s="5"/>
      <c r="H369" s="4"/>
      <c r="I369" s="19"/>
      <c r="J369" s="8"/>
      <c r="K369" s="17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</row>
    <row r="370" spans="1:53" x14ac:dyDescent="0.25">
      <c r="A370" s="5"/>
      <c r="B370" s="5"/>
      <c r="C370" s="5"/>
      <c r="D370" s="5"/>
      <c r="E370" s="5"/>
      <c r="F370" s="5"/>
      <c r="G370" s="5"/>
      <c r="H370" s="4"/>
      <c r="I370" s="19"/>
      <c r="J370" s="8"/>
      <c r="K370" s="17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</row>
    <row r="371" spans="1:53" x14ac:dyDescent="0.25">
      <c r="A371" s="5"/>
      <c r="B371" s="5"/>
      <c r="C371" s="5"/>
      <c r="D371" s="5"/>
      <c r="E371" s="5"/>
      <c r="F371" s="5"/>
      <c r="G371" s="5"/>
      <c r="H371" s="4"/>
      <c r="I371" s="19"/>
      <c r="J371" s="8"/>
      <c r="K371" s="17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</row>
    <row r="372" spans="1:53" x14ac:dyDescent="0.25">
      <c r="A372" s="5"/>
      <c r="B372" s="5"/>
      <c r="C372" s="5"/>
      <c r="D372" s="5"/>
      <c r="E372" s="5"/>
      <c r="F372" s="5"/>
      <c r="G372" s="5"/>
      <c r="H372" s="4"/>
      <c r="I372" s="19"/>
      <c r="J372" s="8"/>
      <c r="K372" s="17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</row>
    <row r="373" spans="1:53" x14ac:dyDescent="0.25">
      <c r="A373" s="5"/>
      <c r="B373" s="5"/>
      <c r="C373" s="5"/>
      <c r="D373" s="5"/>
      <c r="E373" s="5"/>
      <c r="F373" s="5"/>
      <c r="G373" s="5"/>
      <c r="H373" s="4"/>
      <c r="I373" s="19"/>
      <c r="J373" s="8"/>
      <c r="K373" s="17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</row>
    <row r="374" spans="1:53" x14ac:dyDescent="0.25">
      <c r="A374" s="5"/>
      <c r="B374" s="5"/>
      <c r="C374" s="5"/>
      <c r="D374" s="5"/>
      <c r="E374" s="5"/>
      <c r="F374" s="5"/>
      <c r="G374" s="5"/>
      <c r="H374" s="4"/>
      <c r="I374" s="19"/>
      <c r="J374" s="8"/>
      <c r="K374" s="17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</row>
    <row r="375" spans="1:53" x14ac:dyDescent="0.25">
      <c r="A375" s="5"/>
      <c r="B375" s="5"/>
      <c r="C375" s="5"/>
      <c r="D375" s="5"/>
      <c r="E375" s="5"/>
      <c r="F375" s="5"/>
      <c r="G375" s="5"/>
      <c r="H375" s="4"/>
      <c r="I375" s="19"/>
      <c r="J375" s="8"/>
      <c r="K375" s="17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</row>
    <row r="376" spans="1:53" x14ac:dyDescent="0.25">
      <c r="A376" s="5"/>
      <c r="B376" s="5"/>
      <c r="C376" s="5"/>
      <c r="D376" s="5"/>
      <c r="E376" s="5"/>
      <c r="F376" s="5"/>
      <c r="G376" s="5"/>
      <c r="H376" s="4"/>
      <c r="I376" s="19"/>
      <c r="J376" s="8"/>
      <c r="K376" s="17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</row>
    <row r="377" spans="1:53" x14ac:dyDescent="0.25">
      <c r="A377" s="5"/>
      <c r="B377" s="5"/>
      <c r="C377" s="5"/>
      <c r="D377" s="5"/>
      <c r="E377" s="5"/>
      <c r="F377" s="5"/>
      <c r="G377" s="5"/>
      <c r="H377" s="4"/>
      <c r="I377" s="19"/>
      <c r="J377" s="8"/>
      <c r="K377" s="17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</row>
    <row r="378" spans="1:53" x14ac:dyDescent="0.25">
      <c r="A378" s="5"/>
      <c r="B378" s="5"/>
      <c r="C378" s="5"/>
      <c r="D378" s="5"/>
      <c r="E378" s="5"/>
      <c r="F378" s="5"/>
      <c r="G378" s="5"/>
      <c r="H378" s="4"/>
      <c r="I378" s="19"/>
      <c r="J378" s="8"/>
      <c r="K378" s="17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</row>
    <row r="379" spans="1:53" x14ac:dyDescent="0.25">
      <c r="A379" s="5"/>
      <c r="B379" s="5"/>
      <c r="C379" s="5"/>
      <c r="D379" s="5"/>
      <c r="E379" s="5"/>
      <c r="F379" s="5"/>
      <c r="G379" s="5"/>
      <c r="H379" s="4"/>
      <c r="I379" s="19"/>
      <c r="J379" s="8"/>
      <c r="K379" s="17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</row>
    <row r="380" spans="1:53" x14ac:dyDescent="0.25">
      <c r="A380" s="5"/>
      <c r="B380" s="5"/>
      <c r="C380" s="5"/>
      <c r="D380" s="5"/>
      <c r="E380" s="5"/>
      <c r="F380" s="5"/>
      <c r="G380" s="5"/>
      <c r="H380" s="4"/>
      <c r="I380" s="19"/>
      <c r="J380" s="8"/>
      <c r="K380" s="17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</row>
    <row r="381" spans="1:53" x14ac:dyDescent="0.25">
      <c r="A381" s="5"/>
      <c r="B381" s="5"/>
      <c r="C381" s="5"/>
      <c r="D381" s="5"/>
      <c r="E381" s="5"/>
      <c r="F381" s="5"/>
      <c r="G381" s="5"/>
      <c r="H381" s="4"/>
      <c r="I381" s="19"/>
      <c r="J381" s="8"/>
      <c r="K381" s="17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</row>
    <row r="382" spans="1:53" x14ac:dyDescent="0.25">
      <c r="A382" s="5"/>
      <c r="B382" s="5"/>
      <c r="C382" s="5"/>
      <c r="D382" s="5"/>
      <c r="E382" s="5"/>
      <c r="F382" s="5"/>
      <c r="G382" s="5"/>
      <c r="H382" s="4"/>
      <c r="I382" s="19"/>
      <c r="J382" s="8"/>
      <c r="K382" s="17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</row>
    <row r="383" spans="1:53" x14ac:dyDescent="0.25">
      <c r="A383" s="5"/>
      <c r="B383" s="5"/>
      <c r="C383" s="5"/>
      <c r="D383" s="5"/>
      <c r="E383" s="5"/>
      <c r="F383" s="5"/>
      <c r="G383" s="5"/>
      <c r="H383" s="4"/>
      <c r="I383" s="19"/>
      <c r="J383" s="8"/>
      <c r="K383" s="17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</row>
    <row r="384" spans="1:53" x14ac:dyDescent="0.25">
      <c r="A384" s="5"/>
      <c r="B384" s="5"/>
      <c r="C384" s="5"/>
      <c r="D384" s="5"/>
      <c r="E384" s="5"/>
      <c r="F384" s="5"/>
      <c r="G384" s="5"/>
      <c r="H384" s="4"/>
      <c r="I384" s="19"/>
      <c r="J384" s="8"/>
      <c r="K384" s="17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</row>
    <row r="385" spans="1:53" x14ac:dyDescent="0.25">
      <c r="A385" s="5"/>
      <c r="B385" s="5"/>
      <c r="C385" s="5"/>
      <c r="D385" s="5"/>
      <c r="E385" s="5"/>
      <c r="F385" s="5"/>
      <c r="G385" s="5"/>
      <c r="H385" s="4"/>
      <c r="I385" s="19"/>
      <c r="J385" s="8"/>
      <c r="K385" s="17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</row>
    <row r="386" spans="1:53" x14ac:dyDescent="0.25">
      <c r="A386" s="5"/>
      <c r="B386" s="5"/>
      <c r="C386" s="5"/>
      <c r="D386" s="5"/>
      <c r="E386" s="5"/>
      <c r="F386" s="5"/>
      <c r="G386" s="5"/>
      <c r="H386" s="4"/>
      <c r="I386" s="19"/>
      <c r="J386" s="8"/>
      <c r="K386" s="17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</row>
    <row r="387" spans="1:53" x14ac:dyDescent="0.25">
      <c r="A387" s="5"/>
      <c r="B387" s="5"/>
      <c r="C387" s="5"/>
      <c r="D387" s="5"/>
      <c r="E387" s="5"/>
      <c r="F387" s="5"/>
      <c r="G387" s="5"/>
      <c r="H387" s="4"/>
      <c r="I387" s="19"/>
      <c r="J387" s="8"/>
      <c r="K387" s="17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</row>
    <row r="388" spans="1:53" x14ac:dyDescent="0.25">
      <c r="A388" s="5"/>
      <c r="B388" s="5"/>
      <c r="C388" s="5"/>
      <c r="D388" s="5"/>
      <c r="E388" s="5"/>
      <c r="F388" s="5"/>
      <c r="G388" s="5"/>
      <c r="H388" s="4"/>
      <c r="I388" s="19"/>
      <c r="J388" s="8"/>
      <c r="K388" s="17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</row>
    <row r="389" spans="1:53" x14ac:dyDescent="0.25">
      <c r="A389" s="5"/>
      <c r="B389" s="5"/>
      <c r="C389" s="5"/>
      <c r="D389" s="5"/>
      <c r="E389" s="5"/>
      <c r="F389" s="5"/>
      <c r="G389" s="5"/>
      <c r="H389" s="4"/>
      <c r="I389" s="19"/>
      <c r="J389" s="8"/>
      <c r="K389" s="17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</row>
    <row r="390" spans="1:53" x14ac:dyDescent="0.25">
      <c r="A390" s="5"/>
      <c r="B390" s="5"/>
      <c r="C390" s="5"/>
      <c r="D390" s="5"/>
      <c r="E390" s="5"/>
      <c r="F390" s="5"/>
      <c r="G390" s="5"/>
      <c r="H390" s="4"/>
      <c r="I390" s="19"/>
      <c r="J390" s="8"/>
      <c r="K390" s="17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</row>
    <row r="391" spans="1:53" x14ac:dyDescent="0.25">
      <c r="A391" s="5"/>
      <c r="B391" s="5"/>
      <c r="C391" s="5"/>
      <c r="D391" s="5"/>
      <c r="E391" s="5"/>
      <c r="F391" s="5"/>
      <c r="G391" s="5"/>
      <c r="H391" s="4"/>
      <c r="I391" s="19"/>
      <c r="J391" s="8"/>
      <c r="K391" s="17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</row>
    <row r="392" spans="1:53" x14ac:dyDescent="0.25">
      <c r="A392" s="5"/>
      <c r="B392" s="5"/>
      <c r="C392" s="5"/>
      <c r="D392" s="5"/>
      <c r="E392" s="5"/>
      <c r="F392" s="5"/>
      <c r="G392" s="5"/>
      <c r="H392" s="4"/>
      <c r="I392" s="19"/>
      <c r="J392" s="8"/>
      <c r="K392" s="17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</row>
    <row r="393" spans="1:53" x14ac:dyDescent="0.25">
      <c r="A393" s="5"/>
      <c r="B393" s="5"/>
      <c r="C393" s="5"/>
      <c r="D393" s="5"/>
      <c r="E393" s="5"/>
      <c r="F393" s="5"/>
      <c r="G393" s="5"/>
      <c r="H393" s="4"/>
      <c r="I393" s="19"/>
      <c r="J393" s="8"/>
      <c r="K393" s="17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</row>
    <row r="394" spans="1:53" x14ac:dyDescent="0.25">
      <c r="A394" s="5"/>
      <c r="B394" s="5"/>
      <c r="C394" s="5"/>
      <c r="D394" s="5"/>
      <c r="E394" s="5"/>
      <c r="F394" s="5"/>
      <c r="G394" s="5"/>
      <c r="H394" s="4"/>
      <c r="I394" s="19"/>
      <c r="J394" s="8"/>
      <c r="K394" s="17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</row>
    <row r="395" spans="1:53" x14ac:dyDescent="0.25">
      <c r="A395" s="5"/>
      <c r="B395" s="5"/>
      <c r="C395" s="5"/>
      <c r="D395" s="5"/>
      <c r="E395" s="5"/>
      <c r="F395" s="5"/>
      <c r="G395" s="5"/>
      <c r="H395" s="4"/>
      <c r="I395" s="19"/>
      <c r="J395" s="8"/>
      <c r="K395" s="17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</row>
    <row r="396" spans="1:53" x14ac:dyDescent="0.25">
      <c r="A396" s="5"/>
      <c r="B396" s="5"/>
      <c r="C396" s="5"/>
      <c r="D396" s="5"/>
      <c r="E396" s="5"/>
      <c r="F396" s="5"/>
      <c r="G396" s="5"/>
      <c r="H396" s="4"/>
      <c r="I396" s="19"/>
      <c r="J396" s="8"/>
      <c r="K396" s="17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</row>
    <row r="397" spans="1:53" x14ac:dyDescent="0.25">
      <c r="A397" s="5"/>
      <c r="B397" s="5"/>
      <c r="C397" s="5"/>
      <c r="D397" s="5"/>
      <c r="E397" s="5"/>
      <c r="F397" s="5"/>
      <c r="G397" s="5"/>
      <c r="H397" s="4"/>
      <c r="I397" s="19"/>
      <c r="J397" s="8"/>
      <c r="K397" s="17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</row>
    <row r="398" spans="1:53" x14ac:dyDescent="0.25">
      <c r="A398" s="5"/>
      <c r="B398" s="5"/>
      <c r="C398" s="5"/>
      <c r="D398" s="5"/>
      <c r="E398" s="5"/>
      <c r="F398" s="5"/>
      <c r="G398" s="5"/>
      <c r="H398" s="4"/>
      <c r="I398" s="19"/>
      <c r="J398" s="8"/>
      <c r="K398" s="17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</row>
    <row r="399" spans="1:53" x14ac:dyDescent="0.25">
      <c r="A399" s="5"/>
      <c r="B399" s="5"/>
      <c r="C399" s="5"/>
      <c r="D399" s="5"/>
      <c r="E399" s="5"/>
      <c r="F399" s="5"/>
      <c r="G399" s="5"/>
      <c r="H399" s="4"/>
      <c r="I399" s="19"/>
      <c r="J399" s="8"/>
      <c r="K399" s="17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</row>
    <row r="400" spans="1:53" x14ac:dyDescent="0.25">
      <c r="A400" s="5"/>
      <c r="B400" s="5"/>
      <c r="C400" s="5"/>
      <c r="D400" s="5"/>
      <c r="E400" s="5"/>
      <c r="F400" s="5"/>
      <c r="G400" s="5"/>
      <c r="H400" s="4"/>
      <c r="I400" s="19"/>
      <c r="J400" s="8"/>
      <c r="K400" s="17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</row>
    <row r="401" spans="1:53" x14ac:dyDescent="0.25">
      <c r="A401" s="5"/>
      <c r="B401" s="5"/>
      <c r="C401" s="5"/>
      <c r="D401" s="5"/>
      <c r="E401" s="5"/>
      <c r="F401" s="5"/>
      <c r="G401" s="5"/>
      <c r="H401" s="4"/>
      <c r="I401" s="19"/>
      <c r="J401" s="8"/>
      <c r="K401" s="17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</row>
    <row r="402" spans="1:53" x14ac:dyDescent="0.25">
      <c r="A402" s="5"/>
      <c r="B402" s="5"/>
      <c r="C402" s="5"/>
      <c r="D402" s="5"/>
      <c r="E402" s="5"/>
      <c r="F402" s="5"/>
      <c r="G402" s="5"/>
      <c r="H402" s="4"/>
      <c r="I402" s="19"/>
      <c r="J402" s="8"/>
      <c r="K402" s="17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</row>
    <row r="403" spans="1:53" x14ac:dyDescent="0.25">
      <c r="A403" s="5"/>
      <c r="B403" s="5"/>
      <c r="C403" s="5"/>
      <c r="D403" s="5"/>
      <c r="E403" s="5"/>
      <c r="F403" s="5"/>
      <c r="G403" s="5"/>
      <c r="H403" s="4"/>
      <c r="I403" s="19"/>
      <c r="J403" s="8"/>
      <c r="K403" s="17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</row>
    <row r="404" spans="1:53" x14ac:dyDescent="0.25">
      <c r="A404" s="5"/>
      <c r="B404" s="5"/>
      <c r="C404" s="5"/>
      <c r="D404" s="5"/>
      <c r="E404" s="5"/>
      <c r="F404" s="5"/>
      <c r="G404" s="5"/>
      <c r="H404" s="4"/>
      <c r="I404" s="19"/>
      <c r="J404" s="8"/>
      <c r="K404" s="17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</row>
    <row r="405" spans="1:53" x14ac:dyDescent="0.25">
      <c r="A405" s="5"/>
      <c r="B405" s="5"/>
      <c r="C405" s="5"/>
      <c r="D405" s="5"/>
      <c r="E405" s="5"/>
      <c r="F405" s="5"/>
      <c r="G405" s="5"/>
      <c r="H405" s="4"/>
      <c r="I405" s="19"/>
      <c r="J405" s="8"/>
      <c r="K405" s="17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</row>
    <row r="406" spans="1:53" x14ac:dyDescent="0.25">
      <c r="A406" s="5"/>
      <c r="B406" s="5"/>
      <c r="C406" s="5"/>
      <c r="D406" s="5"/>
      <c r="E406" s="5"/>
      <c r="F406" s="5"/>
      <c r="G406" s="5"/>
      <c r="H406" s="4"/>
      <c r="I406" s="19"/>
      <c r="J406" s="8"/>
      <c r="K406" s="17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</row>
    <row r="407" spans="1:53" x14ac:dyDescent="0.25">
      <c r="A407" s="5"/>
      <c r="B407" s="5"/>
      <c r="C407" s="5"/>
      <c r="D407" s="5"/>
      <c r="E407" s="5"/>
      <c r="F407" s="5"/>
      <c r="G407" s="5"/>
      <c r="H407" s="4"/>
      <c r="I407" s="19"/>
      <c r="J407" s="8"/>
      <c r="K407" s="17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</row>
    <row r="408" spans="1:53" x14ac:dyDescent="0.25">
      <c r="A408" s="5"/>
      <c r="B408" s="5"/>
      <c r="C408" s="5"/>
      <c r="D408" s="5"/>
      <c r="E408" s="5"/>
      <c r="F408" s="5"/>
      <c r="G408" s="5"/>
      <c r="H408" s="4"/>
      <c r="I408" s="19"/>
      <c r="J408" s="8"/>
      <c r="K408" s="17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</row>
    <row r="409" spans="1:53" x14ac:dyDescent="0.25">
      <c r="A409" s="5"/>
      <c r="B409" s="5"/>
      <c r="C409" s="5"/>
      <c r="D409" s="5"/>
      <c r="E409" s="5"/>
      <c r="F409" s="5"/>
      <c r="G409" s="5"/>
      <c r="H409" s="4"/>
      <c r="I409" s="19"/>
      <c r="J409" s="8"/>
      <c r="K409" s="17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</row>
    <row r="410" spans="1:53" x14ac:dyDescent="0.25">
      <c r="A410" s="5"/>
      <c r="B410" s="5"/>
      <c r="C410" s="5"/>
      <c r="D410" s="5"/>
      <c r="E410" s="5"/>
      <c r="F410" s="5"/>
      <c r="G410" s="5"/>
      <c r="H410" s="4"/>
      <c r="I410" s="19"/>
      <c r="J410" s="8"/>
      <c r="K410" s="17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</row>
    <row r="411" spans="1:53" x14ac:dyDescent="0.25">
      <c r="A411" s="5"/>
      <c r="B411" s="5"/>
      <c r="C411" s="5"/>
      <c r="D411" s="5"/>
      <c r="E411" s="5"/>
      <c r="F411" s="5"/>
      <c r="G411" s="5"/>
      <c r="H411" s="4"/>
      <c r="I411" s="19"/>
      <c r="J411" s="8"/>
      <c r="K411" s="17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</row>
    <row r="412" spans="1:53" x14ac:dyDescent="0.25">
      <c r="A412" s="5"/>
      <c r="B412" s="5"/>
      <c r="C412" s="5"/>
      <c r="D412" s="5"/>
      <c r="E412" s="5"/>
      <c r="F412" s="5"/>
      <c r="G412" s="5"/>
      <c r="H412" s="4"/>
      <c r="I412" s="19"/>
      <c r="J412" s="8"/>
      <c r="K412" s="17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</row>
    <row r="413" spans="1:53" x14ac:dyDescent="0.25">
      <c r="A413" s="5"/>
      <c r="B413" s="5"/>
      <c r="C413" s="5"/>
      <c r="D413" s="5"/>
      <c r="E413" s="5"/>
      <c r="F413" s="5"/>
      <c r="G413" s="5"/>
      <c r="H413" s="4"/>
      <c r="I413" s="19"/>
      <c r="J413" s="8"/>
      <c r="K413" s="17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</row>
    <row r="414" spans="1:53" x14ac:dyDescent="0.25">
      <c r="A414" s="5"/>
      <c r="B414" s="5"/>
      <c r="C414" s="5"/>
      <c r="D414" s="5"/>
      <c r="E414" s="5"/>
      <c r="F414" s="5"/>
      <c r="G414" s="5"/>
      <c r="H414" s="4"/>
      <c r="I414" s="19"/>
      <c r="J414" s="8"/>
      <c r="K414" s="17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</row>
    <row r="415" spans="1:53" x14ac:dyDescent="0.25">
      <c r="A415" s="5"/>
      <c r="B415" s="5"/>
      <c r="C415" s="5"/>
      <c r="D415" s="5"/>
      <c r="E415" s="5"/>
      <c r="F415" s="5"/>
      <c r="G415" s="5"/>
      <c r="H415" s="4"/>
      <c r="I415" s="19"/>
      <c r="J415" s="8"/>
      <c r="K415" s="17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</row>
    <row r="416" spans="1:53" x14ac:dyDescent="0.25">
      <c r="A416" s="5"/>
      <c r="B416" s="5"/>
      <c r="C416" s="5"/>
      <c r="D416" s="5"/>
      <c r="E416" s="5"/>
      <c r="F416" s="5"/>
      <c r="G416" s="5"/>
      <c r="H416" s="4"/>
      <c r="I416" s="19"/>
      <c r="J416" s="8"/>
      <c r="K416" s="17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</row>
    <row r="417" spans="1:53" x14ac:dyDescent="0.25">
      <c r="A417" s="5"/>
      <c r="B417" s="5"/>
      <c r="C417" s="5"/>
      <c r="D417" s="5"/>
      <c r="E417" s="5"/>
      <c r="F417" s="5"/>
      <c r="G417" s="5"/>
      <c r="H417" s="4"/>
      <c r="I417" s="19"/>
      <c r="J417" s="8"/>
      <c r="K417" s="17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</row>
    <row r="418" spans="1:53" x14ac:dyDescent="0.25">
      <c r="A418" s="5"/>
      <c r="B418" s="5"/>
      <c r="C418" s="5"/>
      <c r="D418" s="5"/>
      <c r="E418" s="5"/>
      <c r="F418" s="5"/>
      <c r="G418" s="5"/>
      <c r="H418" s="4"/>
      <c r="I418" s="19"/>
      <c r="J418" s="8"/>
      <c r="K418" s="17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</row>
    <row r="419" spans="1:53" x14ac:dyDescent="0.25">
      <c r="A419" s="5"/>
      <c r="B419" s="5"/>
      <c r="C419" s="5"/>
      <c r="D419" s="5"/>
      <c r="E419" s="5"/>
      <c r="F419" s="5"/>
      <c r="G419" s="5"/>
      <c r="H419" s="4"/>
      <c r="I419" s="19"/>
      <c r="J419" s="8"/>
      <c r="K419" s="17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</row>
    <row r="420" spans="1:53" x14ac:dyDescent="0.25">
      <c r="A420" s="5"/>
      <c r="B420" s="5"/>
      <c r="C420" s="5"/>
      <c r="D420" s="5"/>
      <c r="E420" s="5"/>
      <c r="F420" s="5"/>
      <c r="G420" s="5"/>
      <c r="H420" s="4"/>
      <c r="I420" s="19"/>
      <c r="J420" s="8"/>
      <c r="K420" s="17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</row>
    <row r="421" spans="1:53" x14ac:dyDescent="0.25">
      <c r="A421" s="5"/>
      <c r="B421" s="5"/>
      <c r="C421" s="5"/>
      <c r="D421" s="5"/>
      <c r="E421" s="5"/>
      <c r="F421" s="5"/>
      <c r="G421" s="5"/>
      <c r="H421" s="4"/>
      <c r="I421" s="19"/>
      <c r="J421" s="8"/>
      <c r="K421" s="17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</row>
    <row r="422" spans="1:53" x14ac:dyDescent="0.25">
      <c r="A422" s="5"/>
      <c r="B422" s="5"/>
      <c r="C422" s="5"/>
      <c r="D422" s="5"/>
      <c r="E422" s="5"/>
      <c r="F422" s="5"/>
      <c r="G422" s="5"/>
      <c r="H422" s="4"/>
      <c r="I422" s="19"/>
      <c r="J422" s="8"/>
      <c r="K422" s="17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</row>
    <row r="423" spans="1:53" x14ac:dyDescent="0.25">
      <c r="A423" s="5"/>
      <c r="B423" s="5"/>
      <c r="C423" s="5"/>
      <c r="D423" s="5"/>
      <c r="E423" s="5"/>
      <c r="F423" s="5"/>
      <c r="G423" s="5"/>
      <c r="H423" s="4"/>
      <c r="I423" s="19"/>
      <c r="J423" s="8"/>
      <c r="K423" s="17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</row>
    <row r="424" spans="1:53" x14ac:dyDescent="0.25">
      <c r="A424" s="5"/>
      <c r="B424" s="5"/>
      <c r="C424" s="5"/>
      <c r="D424" s="5"/>
      <c r="E424" s="5"/>
      <c r="F424" s="5"/>
      <c r="G424" s="5"/>
      <c r="H424" s="4"/>
      <c r="I424" s="19"/>
      <c r="J424" s="8"/>
      <c r="K424" s="17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</row>
    <row r="425" spans="1:53" x14ac:dyDescent="0.25">
      <c r="A425" s="5"/>
      <c r="B425" s="5"/>
      <c r="C425" s="5"/>
      <c r="D425" s="5"/>
      <c r="E425" s="5"/>
      <c r="F425" s="5"/>
      <c r="G425" s="5"/>
      <c r="H425" s="4"/>
      <c r="I425" s="19"/>
      <c r="J425" s="8"/>
      <c r="K425" s="17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</row>
    <row r="426" spans="1:53" x14ac:dyDescent="0.25">
      <c r="A426" s="5"/>
      <c r="B426" s="5"/>
      <c r="C426" s="5"/>
      <c r="D426" s="5"/>
      <c r="E426" s="5"/>
      <c r="F426" s="5"/>
      <c r="G426" s="5"/>
      <c r="H426" s="4"/>
      <c r="I426" s="19"/>
      <c r="J426" s="8"/>
      <c r="K426" s="17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</row>
    <row r="427" spans="1:53" x14ac:dyDescent="0.25">
      <c r="A427" s="5"/>
      <c r="B427" s="5"/>
      <c r="C427" s="5"/>
      <c r="D427" s="5"/>
      <c r="E427" s="5"/>
      <c r="F427" s="5"/>
      <c r="G427" s="5"/>
      <c r="H427" s="4"/>
      <c r="I427" s="19"/>
      <c r="J427" s="8"/>
      <c r="K427" s="17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</row>
    <row r="428" spans="1:53" x14ac:dyDescent="0.25">
      <c r="A428" s="5"/>
      <c r="B428" s="5"/>
      <c r="C428" s="5"/>
      <c r="D428" s="5"/>
      <c r="E428" s="5"/>
      <c r="F428" s="5"/>
      <c r="G428" s="5"/>
      <c r="H428" s="4"/>
      <c r="I428" s="19"/>
      <c r="J428" s="8"/>
      <c r="K428" s="17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</row>
    <row r="429" spans="1:53" x14ac:dyDescent="0.25">
      <c r="A429" s="5"/>
      <c r="B429" s="5"/>
      <c r="C429" s="5"/>
      <c r="D429" s="5"/>
      <c r="E429" s="5"/>
      <c r="F429" s="5"/>
      <c r="G429" s="5"/>
      <c r="H429" s="4"/>
      <c r="I429" s="19"/>
      <c r="J429" s="8"/>
      <c r="K429" s="17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</row>
    <row r="430" spans="1:53" x14ac:dyDescent="0.25">
      <c r="A430" s="5"/>
      <c r="B430" s="5"/>
      <c r="C430" s="5"/>
      <c r="D430" s="5"/>
      <c r="E430" s="5"/>
      <c r="F430" s="5"/>
      <c r="G430" s="5"/>
      <c r="H430" s="4"/>
      <c r="I430" s="19"/>
      <c r="J430" s="8"/>
      <c r="K430" s="17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</row>
    <row r="431" spans="1:53" x14ac:dyDescent="0.25">
      <c r="A431" s="5"/>
      <c r="B431" s="5"/>
      <c r="C431" s="5"/>
      <c r="D431" s="5"/>
      <c r="E431" s="5"/>
      <c r="F431" s="5"/>
      <c r="G431" s="5"/>
      <c r="H431" s="4"/>
      <c r="I431" s="19"/>
      <c r="J431" s="8"/>
      <c r="K431" s="17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</row>
    <row r="432" spans="1:53" x14ac:dyDescent="0.25">
      <c r="A432" s="5"/>
      <c r="B432" s="5"/>
      <c r="C432" s="5"/>
      <c r="D432" s="5"/>
      <c r="E432" s="5"/>
      <c r="F432" s="5"/>
      <c r="G432" s="5"/>
      <c r="H432" s="4"/>
      <c r="I432" s="19"/>
      <c r="J432" s="8"/>
      <c r="K432" s="17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</row>
    <row r="433" spans="1:53" x14ac:dyDescent="0.25">
      <c r="A433" s="5"/>
      <c r="B433" s="5"/>
      <c r="C433" s="5"/>
      <c r="D433" s="5"/>
      <c r="E433" s="5"/>
      <c r="F433" s="5"/>
      <c r="G433" s="5"/>
      <c r="H433" s="4"/>
      <c r="I433" s="19"/>
      <c r="J433" s="8"/>
      <c r="K433" s="17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</row>
    <row r="434" spans="1:53" x14ac:dyDescent="0.25">
      <c r="A434" s="5"/>
      <c r="B434" s="5"/>
      <c r="C434" s="5"/>
      <c r="D434" s="5"/>
      <c r="E434" s="5"/>
      <c r="F434" s="5"/>
      <c r="G434" s="5"/>
      <c r="H434" s="4"/>
      <c r="I434" s="19"/>
      <c r="J434" s="8"/>
      <c r="K434" s="17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</row>
    <row r="435" spans="1:53" x14ac:dyDescent="0.25">
      <c r="A435" s="5"/>
      <c r="B435" s="5"/>
      <c r="C435" s="5"/>
      <c r="D435" s="5"/>
      <c r="E435" s="5"/>
      <c r="F435" s="5"/>
      <c r="G435" s="5"/>
      <c r="H435" s="4"/>
      <c r="I435" s="19"/>
      <c r="J435" s="8"/>
      <c r="K435" s="17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</row>
    <row r="436" spans="1:53" x14ac:dyDescent="0.25">
      <c r="A436" s="5"/>
      <c r="B436" s="5"/>
      <c r="C436" s="5"/>
      <c r="D436" s="5"/>
      <c r="E436" s="5"/>
      <c r="F436" s="5"/>
      <c r="G436" s="5"/>
      <c r="H436" s="4"/>
      <c r="I436" s="19"/>
      <c r="J436" s="8"/>
      <c r="K436" s="17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</row>
    <row r="437" spans="1:53" x14ac:dyDescent="0.25">
      <c r="A437" s="5"/>
      <c r="B437" s="5"/>
      <c r="C437" s="5"/>
      <c r="D437" s="5"/>
      <c r="E437" s="5"/>
      <c r="F437" s="5"/>
      <c r="G437" s="5"/>
      <c r="H437" s="4"/>
      <c r="I437" s="19"/>
      <c r="J437" s="8"/>
      <c r="K437" s="17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</row>
    <row r="438" spans="1:53" x14ac:dyDescent="0.25">
      <c r="A438" s="5"/>
      <c r="B438" s="5"/>
      <c r="C438" s="5"/>
      <c r="D438" s="5"/>
      <c r="E438" s="5"/>
      <c r="F438" s="5"/>
      <c r="G438" s="5"/>
      <c r="H438" s="4"/>
      <c r="I438" s="19"/>
      <c r="J438" s="8"/>
      <c r="K438" s="17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</row>
    <row r="439" spans="1:53" x14ac:dyDescent="0.25">
      <c r="A439" s="5"/>
      <c r="B439" s="5"/>
      <c r="C439" s="5"/>
      <c r="D439" s="5"/>
      <c r="E439" s="5"/>
      <c r="F439" s="5"/>
      <c r="G439" s="5"/>
      <c r="H439" s="4"/>
      <c r="I439" s="19"/>
      <c r="J439" s="8"/>
      <c r="K439" s="17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</row>
    <row r="440" spans="1:53" x14ac:dyDescent="0.25">
      <c r="A440" s="5"/>
      <c r="B440" s="5"/>
      <c r="C440" s="5"/>
      <c r="D440" s="5"/>
      <c r="E440" s="5"/>
      <c r="F440" s="5"/>
      <c r="G440" s="5"/>
      <c r="H440" s="4"/>
      <c r="I440" s="19"/>
      <c r="J440" s="8"/>
      <c r="K440" s="17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</row>
    <row r="441" spans="1:53" x14ac:dyDescent="0.25">
      <c r="A441" s="5"/>
      <c r="B441" s="5"/>
      <c r="C441" s="5"/>
      <c r="D441" s="5"/>
      <c r="E441" s="5"/>
      <c r="F441" s="5"/>
      <c r="G441" s="5"/>
      <c r="H441" s="4"/>
      <c r="I441" s="19"/>
      <c r="J441" s="8"/>
      <c r="K441" s="17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</row>
    <row r="442" spans="1:53" x14ac:dyDescent="0.25">
      <c r="A442" s="5"/>
      <c r="B442" s="5"/>
      <c r="C442" s="5"/>
      <c r="D442" s="5"/>
      <c r="E442" s="5"/>
      <c r="F442" s="5"/>
      <c r="G442" s="5"/>
      <c r="H442" s="4"/>
      <c r="I442" s="19"/>
      <c r="J442" s="8"/>
      <c r="K442" s="17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</row>
    <row r="443" spans="1:53" x14ac:dyDescent="0.25">
      <c r="A443" s="5"/>
      <c r="B443" s="5"/>
      <c r="C443" s="5"/>
      <c r="D443" s="5"/>
      <c r="E443" s="5"/>
      <c r="F443" s="5"/>
      <c r="G443" s="5"/>
      <c r="H443" s="4"/>
      <c r="I443" s="19"/>
      <c r="J443" s="8"/>
      <c r="K443" s="17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</row>
    <row r="444" spans="1:53" x14ac:dyDescent="0.25">
      <c r="A444" s="5"/>
      <c r="B444" s="5"/>
      <c r="C444" s="5"/>
      <c r="D444" s="5"/>
      <c r="E444" s="5"/>
      <c r="F444" s="5"/>
      <c r="G444" s="5"/>
      <c r="H444" s="4"/>
      <c r="I444" s="19"/>
      <c r="J444" s="8"/>
      <c r="K444" s="17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</row>
    <row r="445" spans="1:53" x14ac:dyDescent="0.25">
      <c r="A445" s="5"/>
      <c r="B445" s="5"/>
      <c r="C445" s="5"/>
      <c r="D445" s="5"/>
      <c r="E445" s="5"/>
      <c r="F445" s="5"/>
      <c r="G445" s="5"/>
      <c r="H445" s="4"/>
      <c r="I445" s="19"/>
      <c r="J445" s="8"/>
      <c r="K445" s="17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</row>
    <row r="446" spans="1:53" x14ac:dyDescent="0.25">
      <c r="A446" s="5"/>
      <c r="B446" s="5"/>
      <c r="C446" s="5"/>
      <c r="D446" s="5"/>
      <c r="E446" s="5"/>
      <c r="F446" s="5"/>
      <c r="G446" s="5"/>
      <c r="H446" s="4"/>
      <c r="I446" s="19"/>
      <c r="J446" s="8"/>
      <c r="K446" s="17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</row>
    <row r="447" spans="1:53" x14ac:dyDescent="0.25">
      <c r="A447" s="5"/>
      <c r="B447" s="5"/>
      <c r="C447" s="5"/>
      <c r="D447" s="5"/>
      <c r="E447" s="5"/>
      <c r="F447" s="5"/>
      <c r="G447" s="5"/>
      <c r="H447" s="4"/>
      <c r="I447" s="19"/>
      <c r="J447" s="8"/>
      <c r="K447" s="17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</row>
    <row r="448" spans="1:53" x14ac:dyDescent="0.25">
      <c r="A448" s="5"/>
      <c r="B448" s="5"/>
      <c r="C448" s="5"/>
      <c r="D448" s="5"/>
      <c r="E448" s="5"/>
      <c r="F448" s="5"/>
      <c r="G448" s="5"/>
      <c r="H448" s="4"/>
      <c r="I448" s="19"/>
      <c r="J448" s="8"/>
      <c r="K448" s="17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</row>
    <row r="449" spans="1:53" x14ac:dyDescent="0.25">
      <c r="A449" s="5"/>
      <c r="B449" s="5"/>
      <c r="C449" s="5"/>
      <c r="D449" s="5"/>
      <c r="E449" s="5"/>
      <c r="F449" s="5"/>
      <c r="G449" s="5"/>
      <c r="H449" s="4"/>
      <c r="I449" s="19"/>
      <c r="J449" s="8"/>
      <c r="K449" s="17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</row>
    <row r="450" spans="1:53" x14ac:dyDescent="0.25">
      <c r="A450" s="5"/>
      <c r="B450" s="5"/>
      <c r="C450" s="5"/>
      <c r="D450" s="5"/>
      <c r="E450" s="5"/>
      <c r="F450" s="5"/>
      <c r="G450" s="5"/>
      <c r="H450" s="4"/>
      <c r="I450" s="19"/>
      <c r="J450" s="8"/>
      <c r="K450" s="17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</row>
    <row r="451" spans="1:53" x14ac:dyDescent="0.25">
      <c r="A451" s="5"/>
      <c r="B451" s="5"/>
      <c r="C451" s="5"/>
      <c r="D451" s="5"/>
      <c r="E451" s="5"/>
      <c r="F451" s="5"/>
      <c r="G451" s="5"/>
      <c r="H451" s="4"/>
      <c r="I451" s="19"/>
      <c r="J451" s="8"/>
      <c r="K451" s="17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</row>
    <row r="452" spans="1:53" x14ac:dyDescent="0.25">
      <c r="A452" s="5"/>
      <c r="B452" s="5"/>
      <c r="C452" s="5"/>
      <c r="D452" s="5"/>
      <c r="E452" s="5"/>
      <c r="F452" s="5"/>
      <c r="G452" s="5"/>
      <c r="H452" s="4"/>
      <c r="I452" s="19"/>
      <c r="J452" s="8"/>
      <c r="K452" s="17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</row>
    <row r="453" spans="1:53" x14ac:dyDescent="0.25">
      <c r="A453" s="5"/>
      <c r="B453" s="5"/>
      <c r="C453" s="5"/>
      <c r="D453" s="5"/>
      <c r="E453" s="5"/>
      <c r="F453" s="5"/>
      <c r="G453" s="5"/>
      <c r="H453" s="4"/>
      <c r="I453" s="19"/>
      <c r="J453" s="8"/>
      <c r="K453" s="17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</row>
    <row r="454" spans="1:53" x14ac:dyDescent="0.25">
      <c r="A454" s="5"/>
      <c r="B454" s="5"/>
      <c r="C454" s="5"/>
      <c r="D454" s="5"/>
      <c r="E454" s="5"/>
      <c r="F454" s="5"/>
      <c r="G454" s="5"/>
      <c r="H454" s="4"/>
      <c r="I454" s="19"/>
      <c r="J454" s="8"/>
      <c r="K454" s="17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</row>
    <row r="455" spans="1:53" x14ac:dyDescent="0.25">
      <c r="A455" s="5"/>
      <c r="B455" s="5"/>
      <c r="C455" s="5"/>
      <c r="D455" s="5"/>
      <c r="E455" s="5"/>
      <c r="F455" s="5"/>
      <c r="G455" s="5"/>
      <c r="H455" s="4"/>
      <c r="I455" s="19"/>
      <c r="J455" s="8"/>
      <c r="K455" s="17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</row>
    <row r="456" spans="1:53" x14ac:dyDescent="0.25">
      <c r="A456" s="5"/>
      <c r="B456" s="5"/>
      <c r="C456" s="5"/>
      <c r="D456" s="5"/>
      <c r="E456" s="5"/>
      <c r="F456" s="5"/>
      <c r="G456" s="5"/>
      <c r="H456" s="4"/>
      <c r="I456" s="19"/>
      <c r="J456" s="8"/>
      <c r="K456" s="17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</row>
    <row r="457" spans="1:53" x14ac:dyDescent="0.25">
      <c r="A457" s="5"/>
      <c r="B457" s="5"/>
      <c r="C457" s="5"/>
      <c r="D457" s="5"/>
      <c r="E457" s="5"/>
      <c r="F457" s="5"/>
      <c r="G457" s="5"/>
      <c r="H457" s="4"/>
      <c r="I457" s="19"/>
      <c r="J457" s="8"/>
      <c r="K457" s="17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</row>
    <row r="458" spans="1:53" x14ac:dyDescent="0.25">
      <c r="A458" s="5"/>
      <c r="B458" s="5"/>
      <c r="C458" s="5"/>
      <c r="D458" s="5"/>
      <c r="E458" s="5"/>
      <c r="F458" s="5"/>
      <c r="G458" s="5"/>
      <c r="H458" s="4"/>
      <c r="I458" s="19"/>
      <c r="J458" s="8"/>
      <c r="K458" s="17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</row>
    <row r="459" spans="1:53" x14ac:dyDescent="0.25">
      <c r="A459" s="5"/>
      <c r="B459" s="5"/>
      <c r="C459" s="5"/>
      <c r="D459" s="5"/>
      <c r="E459" s="5"/>
      <c r="F459" s="5"/>
      <c r="G459" s="5"/>
      <c r="H459" s="4"/>
      <c r="I459" s="19"/>
      <c r="J459" s="8"/>
      <c r="K459" s="17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</row>
    <row r="460" spans="1:53" x14ac:dyDescent="0.25">
      <c r="A460" s="5"/>
      <c r="B460" s="5"/>
      <c r="C460" s="5"/>
      <c r="D460" s="5"/>
      <c r="E460" s="5"/>
      <c r="F460" s="5"/>
      <c r="G460" s="5"/>
      <c r="H460" s="4"/>
      <c r="I460" s="19"/>
      <c r="J460" s="8"/>
      <c r="K460" s="17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</row>
    <row r="461" spans="1:53" x14ac:dyDescent="0.25">
      <c r="A461" s="5"/>
      <c r="B461" s="5"/>
      <c r="C461" s="5"/>
      <c r="D461" s="5"/>
      <c r="E461" s="5"/>
      <c r="F461" s="5"/>
      <c r="G461" s="5"/>
      <c r="H461" s="4"/>
      <c r="I461" s="19"/>
      <c r="J461" s="8"/>
      <c r="K461" s="17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</row>
    <row r="462" spans="1:53" x14ac:dyDescent="0.25">
      <c r="A462" s="5"/>
      <c r="B462" s="5"/>
      <c r="C462" s="5"/>
      <c r="D462" s="5"/>
      <c r="E462" s="5"/>
      <c r="F462" s="5"/>
      <c r="G462" s="5"/>
      <c r="H462" s="4"/>
      <c r="I462" s="19"/>
      <c r="J462" s="8"/>
      <c r="K462" s="17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</row>
    <row r="463" spans="1:53" x14ac:dyDescent="0.25">
      <c r="A463" s="5"/>
      <c r="B463" s="5"/>
      <c r="C463" s="5"/>
      <c r="D463" s="5"/>
      <c r="E463" s="5"/>
      <c r="F463" s="5"/>
      <c r="G463" s="5"/>
      <c r="H463" s="4"/>
      <c r="I463" s="19"/>
      <c r="J463" s="8"/>
      <c r="K463" s="17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</row>
    <row r="464" spans="1:53" x14ac:dyDescent="0.25">
      <c r="A464" s="5"/>
      <c r="B464" s="5"/>
      <c r="C464" s="5"/>
      <c r="D464" s="5"/>
      <c r="E464" s="5"/>
      <c r="F464" s="5"/>
      <c r="G464" s="5"/>
      <c r="H464" s="4"/>
      <c r="I464" s="19"/>
      <c r="J464" s="8"/>
      <c r="K464" s="17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</row>
    <row r="465" spans="1:53" x14ac:dyDescent="0.25">
      <c r="A465" s="5"/>
      <c r="B465" s="5"/>
      <c r="C465" s="5"/>
      <c r="D465" s="5"/>
      <c r="E465" s="5"/>
      <c r="F465" s="5"/>
      <c r="G465" s="5"/>
      <c r="H465" s="4"/>
      <c r="I465" s="19"/>
      <c r="J465" s="8"/>
      <c r="K465" s="17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</row>
    <row r="466" spans="1:53" x14ac:dyDescent="0.25">
      <c r="A466" s="5"/>
      <c r="B466" s="5"/>
      <c r="C466" s="5"/>
      <c r="D466" s="5"/>
      <c r="E466" s="5"/>
      <c r="F466" s="5"/>
      <c r="G466" s="5"/>
      <c r="H466" s="4"/>
      <c r="I466" s="19"/>
      <c r="J466" s="8"/>
      <c r="K466" s="17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</row>
    <row r="467" spans="1:53" x14ac:dyDescent="0.25">
      <c r="A467" s="5"/>
      <c r="B467" s="5"/>
      <c r="C467" s="5"/>
      <c r="D467" s="5"/>
      <c r="E467" s="5"/>
      <c r="F467" s="5"/>
      <c r="G467" s="5"/>
      <c r="H467" s="4"/>
      <c r="I467" s="19"/>
      <c r="J467" s="8"/>
      <c r="K467" s="17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</row>
    <row r="468" spans="1:53" x14ac:dyDescent="0.25">
      <c r="A468" s="5"/>
      <c r="B468" s="5"/>
      <c r="C468" s="5"/>
      <c r="D468" s="5"/>
      <c r="E468" s="5"/>
      <c r="F468" s="5"/>
      <c r="G468" s="5"/>
      <c r="H468" s="4"/>
      <c r="I468" s="19"/>
      <c r="J468" s="8"/>
      <c r="K468" s="17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</row>
    <row r="469" spans="1:53" x14ac:dyDescent="0.25">
      <c r="A469" s="5"/>
      <c r="B469" s="5"/>
      <c r="C469" s="5"/>
      <c r="D469" s="5"/>
      <c r="E469" s="5"/>
      <c r="F469" s="5"/>
      <c r="G469" s="5"/>
      <c r="H469" s="4"/>
      <c r="I469" s="19"/>
      <c r="J469" s="8"/>
      <c r="K469" s="17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</row>
    <row r="470" spans="1:53" x14ac:dyDescent="0.25">
      <c r="A470" s="5"/>
      <c r="B470" s="5"/>
      <c r="C470" s="5"/>
      <c r="D470" s="5"/>
      <c r="E470" s="5"/>
      <c r="F470" s="5"/>
      <c r="G470" s="5"/>
      <c r="H470" s="4"/>
      <c r="I470" s="19"/>
      <c r="J470" s="8"/>
      <c r="K470" s="17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</row>
    <row r="471" spans="1:53" x14ac:dyDescent="0.25">
      <c r="A471" s="5"/>
      <c r="B471" s="5"/>
      <c r="C471" s="5"/>
      <c r="D471" s="5"/>
      <c r="E471" s="5"/>
      <c r="F471" s="5"/>
      <c r="G471" s="5"/>
      <c r="H471" s="4"/>
      <c r="I471" s="19"/>
      <c r="J471" s="8"/>
      <c r="K471" s="17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</row>
    <row r="472" spans="1:53" x14ac:dyDescent="0.25">
      <c r="A472" s="5"/>
      <c r="B472" s="5"/>
      <c r="C472" s="5"/>
      <c r="D472" s="5"/>
      <c r="E472" s="5"/>
      <c r="F472" s="5"/>
      <c r="G472" s="5"/>
      <c r="H472" s="4"/>
      <c r="I472" s="19"/>
      <c r="J472" s="8"/>
      <c r="K472" s="17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</row>
    <row r="473" spans="1:53" x14ac:dyDescent="0.25">
      <c r="A473" s="5"/>
      <c r="B473" s="5"/>
      <c r="C473" s="5"/>
      <c r="D473" s="5"/>
      <c r="E473" s="5"/>
      <c r="F473" s="5"/>
      <c r="G473" s="5"/>
      <c r="H473" s="4"/>
      <c r="I473" s="19"/>
      <c r="J473" s="8"/>
      <c r="K473" s="17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</row>
    <row r="474" spans="1:53" x14ac:dyDescent="0.25">
      <c r="A474" s="5"/>
      <c r="B474" s="5"/>
      <c r="C474" s="5"/>
      <c r="D474" s="5"/>
      <c r="E474" s="5"/>
      <c r="F474" s="5"/>
      <c r="G474" s="5"/>
      <c r="H474" s="4"/>
      <c r="I474" s="19"/>
      <c r="J474" s="8"/>
      <c r="K474" s="17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</row>
    <row r="475" spans="1:53" x14ac:dyDescent="0.25">
      <c r="A475" s="5"/>
      <c r="B475" s="5"/>
      <c r="C475" s="5"/>
      <c r="D475" s="5"/>
      <c r="E475" s="5"/>
      <c r="F475" s="5"/>
      <c r="G475" s="5"/>
      <c r="H475" s="4"/>
      <c r="I475" s="19"/>
      <c r="J475" s="8"/>
      <c r="K475" s="17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</row>
    <row r="476" spans="1:53" x14ac:dyDescent="0.25">
      <c r="A476" s="5"/>
      <c r="B476" s="5"/>
      <c r="C476" s="5"/>
      <c r="D476" s="5"/>
      <c r="E476" s="5"/>
      <c r="F476" s="5"/>
      <c r="G476" s="5"/>
      <c r="H476" s="4"/>
      <c r="I476" s="19"/>
      <c r="J476" s="8"/>
      <c r="K476" s="17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</row>
    <row r="477" spans="1:53" x14ac:dyDescent="0.25">
      <c r="A477" s="5"/>
      <c r="B477" s="5"/>
      <c r="C477" s="5"/>
      <c r="D477" s="5"/>
      <c r="E477" s="5"/>
      <c r="F477" s="5"/>
      <c r="G477" s="5"/>
      <c r="H477" s="4"/>
      <c r="I477" s="19"/>
      <c r="J477" s="8"/>
      <c r="K477" s="17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</row>
    <row r="478" spans="1:53" x14ac:dyDescent="0.25">
      <c r="A478" s="5"/>
      <c r="B478" s="5"/>
      <c r="C478" s="5"/>
      <c r="D478" s="5"/>
      <c r="E478" s="5"/>
      <c r="F478" s="5"/>
      <c r="G478" s="5"/>
      <c r="H478" s="4"/>
      <c r="I478" s="19"/>
      <c r="J478" s="8"/>
      <c r="K478" s="17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</row>
    <row r="479" spans="1:53" x14ac:dyDescent="0.25">
      <c r="A479" s="5"/>
      <c r="B479" s="5"/>
      <c r="C479" s="5"/>
      <c r="D479" s="5"/>
      <c r="E479" s="5"/>
      <c r="F479" s="5"/>
      <c r="G479" s="5"/>
      <c r="H479" s="4"/>
      <c r="I479" s="19"/>
      <c r="J479" s="8"/>
      <c r="K479" s="17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</row>
    <row r="480" spans="1:53" x14ac:dyDescent="0.25">
      <c r="A480" s="5"/>
      <c r="B480" s="5"/>
      <c r="C480" s="5"/>
      <c r="D480" s="5"/>
      <c r="E480" s="5"/>
      <c r="F480" s="5"/>
      <c r="G480" s="5"/>
      <c r="H480" s="4"/>
      <c r="I480" s="19"/>
      <c r="J480" s="8"/>
      <c r="K480" s="17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</row>
    <row r="481" spans="1:53" x14ac:dyDescent="0.25">
      <c r="A481" s="5"/>
      <c r="B481" s="5"/>
      <c r="C481" s="5"/>
      <c r="D481" s="5"/>
      <c r="E481" s="5"/>
      <c r="F481" s="5"/>
      <c r="G481" s="5"/>
      <c r="H481" s="4"/>
      <c r="I481" s="19"/>
      <c r="J481" s="8"/>
      <c r="K481" s="17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</row>
    <row r="482" spans="1:53" x14ac:dyDescent="0.25">
      <c r="A482" s="5"/>
      <c r="B482" s="5"/>
      <c r="C482" s="5"/>
      <c r="D482" s="5"/>
      <c r="E482" s="5"/>
      <c r="F482" s="5"/>
      <c r="G482" s="5"/>
      <c r="H482" s="4"/>
      <c r="I482" s="19"/>
      <c r="J482" s="8"/>
      <c r="K482" s="17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</row>
    <row r="483" spans="1:53" x14ac:dyDescent="0.25">
      <c r="A483" s="5"/>
      <c r="B483" s="5"/>
      <c r="C483" s="5"/>
      <c r="D483" s="5"/>
      <c r="E483" s="5"/>
      <c r="F483" s="5"/>
      <c r="G483" s="5"/>
      <c r="H483" s="4"/>
      <c r="I483" s="19"/>
      <c r="J483" s="8"/>
      <c r="K483" s="17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</row>
    <row r="484" spans="1:53" x14ac:dyDescent="0.25">
      <c r="A484" s="5"/>
      <c r="B484" s="5"/>
      <c r="C484" s="5"/>
      <c r="D484" s="5"/>
      <c r="E484" s="5"/>
      <c r="F484" s="5"/>
      <c r="G484" s="5"/>
      <c r="H484" s="4"/>
      <c r="I484" s="19"/>
      <c r="J484" s="8"/>
      <c r="K484" s="17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</row>
    <row r="485" spans="1:53" x14ac:dyDescent="0.25">
      <c r="A485" s="5"/>
      <c r="B485" s="5"/>
      <c r="C485" s="5"/>
      <c r="D485" s="5"/>
      <c r="E485" s="5"/>
      <c r="F485" s="5"/>
      <c r="G485" s="5"/>
      <c r="H485" s="4"/>
      <c r="I485" s="19"/>
      <c r="J485" s="8"/>
      <c r="K485" s="17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</row>
    <row r="486" spans="1:53" x14ac:dyDescent="0.25">
      <c r="A486" s="5"/>
      <c r="B486" s="5"/>
      <c r="C486" s="5"/>
      <c r="D486" s="5"/>
      <c r="E486" s="5"/>
      <c r="F486" s="5"/>
      <c r="G486" s="5"/>
      <c r="H486" s="4"/>
      <c r="I486" s="19"/>
      <c r="J486" s="8"/>
      <c r="K486" s="17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</row>
    <row r="487" spans="1:53" x14ac:dyDescent="0.25">
      <c r="A487" s="5"/>
      <c r="B487" s="5"/>
      <c r="C487" s="5"/>
      <c r="D487" s="5"/>
      <c r="E487" s="5"/>
      <c r="F487" s="5"/>
      <c r="G487" s="5"/>
      <c r="H487" s="4"/>
      <c r="I487" s="19"/>
      <c r="J487" s="8"/>
      <c r="K487" s="17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</row>
    <row r="488" spans="1:53" x14ac:dyDescent="0.25">
      <c r="A488" s="5"/>
      <c r="B488" s="5"/>
      <c r="C488" s="5"/>
      <c r="D488" s="5"/>
      <c r="E488" s="5"/>
      <c r="F488" s="5"/>
      <c r="G488" s="5"/>
      <c r="H488" s="4"/>
      <c r="I488" s="19"/>
      <c r="J488" s="8"/>
      <c r="K488" s="17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</row>
    <row r="489" spans="1:53" x14ac:dyDescent="0.25">
      <c r="A489" s="5"/>
      <c r="B489" s="5"/>
      <c r="C489" s="5"/>
      <c r="D489" s="5"/>
      <c r="E489" s="5"/>
      <c r="F489" s="5"/>
      <c r="G489" s="5"/>
      <c r="H489" s="4"/>
      <c r="I489" s="19"/>
      <c r="J489" s="8"/>
      <c r="K489" s="17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</row>
    <row r="490" spans="1:53" x14ac:dyDescent="0.25">
      <c r="A490" s="5"/>
      <c r="B490" s="5"/>
      <c r="C490" s="5"/>
      <c r="D490" s="5"/>
      <c r="E490" s="5"/>
      <c r="F490" s="5"/>
      <c r="G490" s="5"/>
      <c r="H490" s="4"/>
      <c r="I490" s="19"/>
      <c r="J490" s="8"/>
      <c r="K490" s="17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</row>
    <row r="491" spans="1:53" x14ac:dyDescent="0.25">
      <c r="A491" s="5"/>
      <c r="B491" s="5"/>
      <c r="C491" s="5"/>
      <c r="D491" s="5"/>
      <c r="E491" s="5"/>
      <c r="F491" s="5"/>
      <c r="G491" s="5"/>
      <c r="H491" s="4"/>
      <c r="I491" s="19"/>
      <c r="J491" s="8"/>
      <c r="K491" s="17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</row>
    <row r="492" spans="1:53" x14ac:dyDescent="0.25">
      <c r="A492" s="5"/>
      <c r="B492" s="5"/>
      <c r="C492" s="5"/>
      <c r="D492" s="5"/>
      <c r="E492" s="5"/>
      <c r="F492" s="5"/>
      <c r="G492" s="5"/>
      <c r="H492" s="4"/>
      <c r="I492" s="19"/>
      <c r="J492" s="8"/>
      <c r="K492" s="17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</row>
    <row r="493" spans="1:53" x14ac:dyDescent="0.25">
      <c r="A493" s="5"/>
      <c r="B493" s="5"/>
      <c r="C493" s="5"/>
      <c r="D493" s="5"/>
      <c r="E493" s="5"/>
      <c r="F493" s="5"/>
      <c r="G493" s="5"/>
      <c r="H493" s="4"/>
      <c r="I493" s="19"/>
      <c r="J493" s="8"/>
      <c r="K493" s="17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</row>
    <row r="494" spans="1:53" x14ac:dyDescent="0.25">
      <c r="A494" s="5"/>
      <c r="B494" s="5"/>
      <c r="C494" s="5"/>
      <c r="D494" s="5"/>
      <c r="E494" s="5"/>
      <c r="F494" s="5"/>
      <c r="G494" s="5"/>
      <c r="H494" s="4"/>
      <c r="I494" s="19"/>
      <c r="J494" s="8"/>
      <c r="K494" s="17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</row>
    <row r="495" spans="1:53" x14ac:dyDescent="0.25">
      <c r="A495" s="5"/>
      <c r="B495" s="5"/>
      <c r="C495" s="5"/>
      <c r="D495" s="5"/>
      <c r="E495" s="5"/>
      <c r="F495" s="5"/>
      <c r="G495" s="5"/>
      <c r="H495" s="4"/>
      <c r="I495" s="19"/>
      <c r="J495" s="8"/>
      <c r="K495" s="17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</row>
    <row r="496" spans="1:53" x14ac:dyDescent="0.25">
      <c r="A496" s="5"/>
      <c r="B496" s="5"/>
      <c r="C496" s="5"/>
      <c r="D496" s="5"/>
      <c r="E496" s="5"/>
      <c r="F496" s="5"/>
      <c r="G496" s="5"/>
      <c r="H496" s="4"/>
      <c r="I496" s="19"/>
      <c r="J496" s="8"/>
      <c r="K496" s="17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</row>
    <row r="497" spans="1:53" x14ac:dyDescent="0.25">
      <c r="A497" s="5"/>
      <c r="B497" s="5"/>
      <c r="C497" s="5"/>
      <c r="D497" s="5"/>
      <c r="E497" s="5"/>
      <c r="F497" s="5"/>
      <c r="G497" s="5"/>
      <c r="H497" s="4"/>
      <c r="I497" s="19"/>
      <c r="J497" s="8"/>
      <c r="K497" s="17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</row>
    <row r="498" spans="1:53" x14ac:dyDescent="0.25">
      <c r="A498" s="5"/>
      <c r="B498" s="5"/>
      <c r="C498" s="5"/>
      <c r="D498" s="5"/>
      <c r="E498" s="5"/>
      <c r="F498" s="5"/>
      <c r="G498" s="5"/>
      <c r="H498" s="4"/>
      <c r="I498" s="19"/>
      <c r="J498" s="8"/>
      <c r="K498" s="17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</row>
    <row r="499" spans="1:53" x14ac:dyDescent="0.25">
      <c r="A499" s="5"/>
      <c r="B499" s="5"/>
      <c r="C499" s="5"/>
      <c r="D499" s="5"/>
      <c r="E499" s="5"/>
      <c r="F499" s="5"/>
      <c r="G499" s="5"/>
      <c r="H499" s="4"/>
      <c r="I499" s="19"/>
      <c r="J499" s="8"/>
      <c r="K499" s="17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</row>
    <row r="500" spans="1:53" x14ac:dyDescent="0.25">
      <c r="A500" s="5"/>
      <c r="B500" s="5"/>
      <c r="C500" s="5"/>
      <c r="D500" s="5"/>
      <c r="E500" s="5"/>
      <c r="F500" s="5"/>
      <c r="G500" s="5"/>
      <c r="H500" s="4"/>
      <c r="I500" s="19"/>
      <c r="J500" s="8"/>
      <c r="K500" s="17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</row>
  </sheetData>
  <mergeCells count="1">
    <mergeCell ref="F4:G4"/>
  </mergeCells>
  <conditionalFormatting sqref="I7:I17">
    <cfRule type="containsText" dxfId="37" priority="11" operator="containsText" text="INVALID MARK">
      <formula>NOT(ISERROR(SEARCH("INVALID MARK",I7)))</formula>
    </cfRule>
    <cfRule type="containsText" dxfId="36" priority="12" operator="containsText" text="INVALID ENTRY">
      <formula>NOT(ISERROR(SEARCH("INVALID ENTRY",I7)))</formula>
    </cfRule>
    <cfRule type="containsText" dxfId="35" priority="13" operator="containsText" text="MISSING MARK">
      <formula>NOT(ISERROR(SEARCH("MISSING MARK",I7)))</formula>
    </cfRule>
  </conditionalFormatting>
  <conditionalFormatting sqref="D7">
    <cfRule type="containsText" dxfId="34" priority="9" operator="containsText" text="FAIL">
      <formula>NOT(ISERROR(SEARCH("FAIL",D7)))</formula>
    </cfRule>
    <cfRule type="containsText" dxfId="33" priority="10" operator="containsText" text="PASS">
      <formula>NOT(ISERROR(SEARCH("PASS",D7)))</formula>
    </cfRule>
  </conditionalFormatting>
  <conditionalFormatting sqref="D8:D10">
    <cfRule type="containsText" dxfId="32" priority="7" operator="containsText" text="FAIL">
      <formula>NOT(ISERROR(SEARCH("FAIL",D8)))</formula>
    </cfRule>
    <cfRule type="containsText" dxfId="31" priority="8" operator="containsText" text="PASS">
      <formula>NOT(ISERROR(SEARCH("PASS",D8)))</formula>
    </cfRule>
  </conditionalFormatting>
  <conditionalFormatting sqref="D11:D15">
    <cfRule type="containsText" dxfId="30" priority="5" operator="containsText" text="FAIL">
      <formula>NOT(ISERROR(SEARCH("FAIL",D11)))</formula>
    </cfRule>
    <cfRule type="containsText" dxfId="29" priority="6" operator="containsText" text="PASS">
      <formula>NOT(ISERROR(SEARCH("PASS",D11)))</formula>
    </cfRule>
  </conditionalFormatting>
  <conditionalFormatting sqref="D16">
    <cfRule type="containsText" dxfId="28" priority="3" operator="containsText" text="FAIL">
      <formula>NOT(ISERROR(SEARCH("FAIL",D16)))</formula>
    </cfRule>
    <cfRule type="containsText" dxfId="27" priority="4" operator="containsText" text="PASS">
      <formula>NOT(ISERROR(SEARCH("PASS",D16)))</formula>
    </cfRule>
  </conditionalFormatting>
  <conditionalFormatting sqref="D17">
    <cfRule type="containsText" dxfId="26" priority="1" operator="containsText" text="FAIL">
      <formula>NOT(ISERROR(SEARCH("FAIL",D17)))</formula>
    </cfRule>
    <cfRule type="containsText" dxfId="25" priority="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52" priority="546" operator="containsText" text="INVALID MARK">
      <formula>NOT(ISERROR(SEARCH("INVALID MARK",I7)))</formula>
    </cfRule>
    <cfRule type="containsText" dxfId="51" priority="547" operator="containsText" text="INVALID ENTRY">
      <formula>NOT(ISERROR(SEARCH("INVALID ENTRY",I7)))</formula>
    </cfRule>
    <cfRule type="containsText" dxfId="50" priority="548" operator="containsText" text="MISSING MARK">
      <formula>NOT(ISERROR(SEARCH("MISSING MARK",I7)))</formula>
    </cfRule>
  </conditionalFormatting>
  <conditionalFormatting sqref="D7">
    <cfRule type="containsText" dxfId="49" priority="319" operator="containsText" text="FAIL">
      <formula>NOT(ISERROR(SEARCH("FAIL",D7)))</formula>
    </cfRule>
    <cfRule type="containsText" dxfId="48" priority="320" operator="containsText" text="PASS">
      <formula>NOT(ISERROR(SEARCH("PASS",D7)))</formula>
    </cfRule>
  </conditionalFormatting>
  <conditionalFormatting sqref="D8:D10">
    <cfRule type="containsText" dxfId="47" priority="301" operator="containsText" text="FAIL">
      <formula>NOT(ISERROR(SEARCH("FAIL",D8)))</formula>
    </cfRule>
    <cfRule type="containsText" dxfId="46" priority="302" operator="containsText" text="PASS">
      <formula>NOT(ISERROR(SEARCH("PASS",D8)))</formula>
    </cfRule>
  </conditionalFormatting>
  <conditionalFormatting sqref="H7:H16">
    <cfRule type="containsText" dxfId="45" priority="297" operator="containsText" text="INVALID MARK">
      <formula>NOT(ISERROR(SEARCH("INVALID MARK",H7)))</formula>
    </cfRule>
  </conditionalFormatting>
  <conditionalFormatting sqref="D11:D15">
    <cfRule type="containsText" dxfId="44" priority="295" operator="containsText" text="FAIL">
      <formula>NOT(ISERROR(SEARCH("FAIL",D11)))</formula>
    </cfRule>
    <cfRule type="containsText" dxfId="43" priority="296" operator="containsText" text="PASS">
      <formula>NOT(ISERROR(SEARCH("PASS",D11)))</formula>
    </cfRule>
  </conditionalFormatting>
  <conditionalFormatting sqref="D16">
    <cfRule type="containsText" dxfId="42" priority="289" operator="containsText" text="FAIL">
      <formula>NOT(ISERROR(SEARCH("FAIL",D16)))</formula>
    </cfRule>
    <cfRule type="containsText" dxfId="41" priority="290" operator="containsText" text="PASS">
      <formula>NOT(ISERROR(SEARCH("PASS",D16)))</formula>
    </cfRule>
  </conditionalFormatting>
  <conditionalFormatting sqref="H17">
    <cfRule type="containsText" dxfId="40" priority="270" operator="containsText" text="INVALID MARK">
      <formula>NOT(ISERROR(SEARCH("INVALID MARK",H17)))</formula>
    </cfRule>
  </conditionalFormatting>
  <conditionalFormatting sqref="D17">
    <cfRule type="containsText" dxfId="39" priority="265" operator="containsText" text="FAIL">
      <formula>NOT(ISERROR(SEARCH("FAIL",D17)))</formula>
    </cfRule>
    <cfRule type="containsText" dxfId="38" priority="266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Test 5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2020-10-09T18:54:45Z</dcterms:modified>
</cp:coreProperties>
</file>