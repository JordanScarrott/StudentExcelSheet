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5" i="56"/>
  <c r="I13" i="55"/>
  <c r="I14" i="54"/>
  <c r="P36" i="1" l="1"/>
  <c r="O34" i="1"/>
  <c r="N35" i="1"/>
  <c r="K10" i="58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H14" i="58" s="1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H15" i="56" s="1"/>
  <c r="D15" i="56" s="1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I14" i="58"/>
  <c r="H15" i="58" l="1"/>
  <c r="D15" i="58" s="1"/>
  <c r="H13" i="56"/>
  <c r="H16" i="56"/>
  <c r="D16" i="56" s="1"/>
  <c r="H11" i="56"/>
  <c r="D11" i="56" s="1"/>
  <c r="H13" i="55"/>
  <c r="D13" i="55" s="1"/>
  <c r="H15" i="55"/>
  <c r="H13" i="58"/>
  <c r="H16" i="58"/>
  <c r="H11" i="58"/>
  <c r="D11" i="58" s="1"/>
  <c r="H12" i="58"/>
  <c r="D12" i="58" s="1"/>
  <c r="H14" i="56"/>
  <c r="D14" i="56" s="1"/>
  <c r="H12" i="56"/>
  <c r="D12" i="56" s="1"/>
  <c r="H12" i="55"/>
  <c r="D12" i="55" s="1"/>
  <c r="H14" i="55"/>
  <c r="D14" i="55" s="1"/>
  <c r="H16" i="55"/>
  <c r="H11" i="55"/>
  <c r="D11" i="55" s="1"/>
  <c r="Q35" i="1"/>
  <c r="D14" i="58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5" i="58"/>
  <c r="I16" i="56"/>
  <c r="I11" i="56"/>
  <c r="I13" i="56"/>
  <c r="I15" i="55"/>
  <c r="I12" i="58"/>
  <c r="I11" i="58"/>
  <c r="I13" i="58"/>
  <c r="I16" i="58"/>
  <c r="I14" i="56"/>
  <c r="I12" i="56"/>
  <c r="I11" i="55"/>
  <c r="I12" i="55"/>
  <c r="I14" i="55"/>
  <c r="I16" i="55"/>
  <c r="I9" i="58"/>
  <c r="I7" i="58"/>
  <c r="I10" i="58"/>
  <c r="I8" i="58"/>
  <c r="I9" i="56"/>
  <c r="I7" i="56"/>
  <c r="I8" i="56"/>
  <c r="I10" i="56"/>
  <c r="I7" i="55"/>
  <c r="I9" i="55"/>
  <c r="I10" i="55"/>
  <c r="I8" i="55"/>
  <c r="Q36" i="1" l="1"/>
  <c r="P34" i="1"/>
  <c r="P32" i="1"/>
  <c r="P37" i="1"/>
  <c r="D13" i="56"/>
  <c r="O36" i="1"/>
  <c r="D15" i="55"/>
  <c r="Q37" i="1"/>
  <c r="Q34" i="1"/>
  <c r="Q32" i="1"/>
  <c r="Q33" i="1"/>
  <c r="D16" i="58"/>
  <c r="D13" i="58"/>
  <c r="P33" i="1"/>
  <c r="P35" i="1"/>
  <c r="O37" i="1"/>
  <c r="O35" i="1"/>
  <c r="O33" i="1"/>
  <c r="O32" i="1"/>
  <c r="D16" i="55"/>
  <c r="Q30" i="1"/>
  <c r="D9" i="58"/>
  <c r="O28" i="1"/>
  <c r="D7" i="55"/>
  <c r="O30" i="1"/>
  <c r="D9" i="55"/>
  <c r="Q31" i="1"/>
  <c r="D10" i="58"/>
  <c r="Q29" i="1"/>
  <c r="D8" i="58"/>
  <c r="Q28" i="1"/>
  <c r="D7" i="58"/>
  <c r="O31" i="1"/>
  <c r="D10" i="55"/>
  <c r="O29" i="1"/>
  <c r="D8" i="55"/>
  <c r="P31" i="1"/>
  <c r="D10" i="56"/>
  <c r="P30" i="1"/>
  <c r="D9" i="56"/>
  <c r="P29" i="1"/>
  <c r="D8" i="56"/>
  <c r="P28" i="1"/>
  <c r="D7" i="56"/>
  <c r="K7" i="52"/>
  <c r="G7" i="52"/>
  <c r="F7" i="52"/>
  <c r="E7" i="52"/>
  <c r="K7" i="54"/>
  <c r="G7" i="54"/>
  <c r="F7" i="54"/>
  <c r="E7" i="54"/>
  <c r="M35" i="1" l="1"/>
  <c r="N27" i="1"/>
  <c r="M27" i="1" s="1"/>
  <c r="L35" i="1" l="1"/>
  <c r="K6" i="54"/>
  <c r="D3" i="54"/>
  <c r="N25" i="1" s="1"/>
  <c r="H16" i="54" l="1"/>
  <c r="D16" i="54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16" i="54"/>
  <c r="I15" i="54"/>
  <c r="I13" i="54"/>
  <c r="I11" i="54"/>
  <c r="I12" i="54"/>
  <c r="I9" i="54"/>
  <c r="I8" i="54"/>
  <c r="I10" i="54"/>
  <c r="N37" i="1" l="1"/>
  <c r="M37" i="1" s="1"/>
  <c r="L37" i="1" s="1"/>
  <c r="N36" i="1"/>
  <c r="M36" i="1" s="1"/>
  <c r="L36" i="1" s="1"/>
  <c r="D15" i="54"/>
  <c r="N34" i="1"/>
  <c r="M34" i="1" s="1"/>
  <c r="D13" i="54"/>
  <c r="N33" i="1"/>
  <c r="M33" i="1" s="1"/>
  <c r="L33" i="1" s="1"/>
  <c r="N32" i="1"/>
  <c r="M32" i="1" s="1"/>
  <c r="L32" i="1" s="1"/>
  <c r="D12" i="54"/>
  <c r="D11" i="54"/>
  <c r="N31" i="1"/>
  <c r="N29" i="1"/>
  <c r="N30" i="1"/>
  <c r="D10" i="54"/>
  <c r="D8" i="54"/>
  <c r="D9" i="54"/>
  <c r="K6" i="52"/>
  <c r="H16" i="52"/>
  <c r="H13" i="52"/>
  <c r="I13" i="52" s="1"/>
  <c r="H11" i="52"/>
  <c r="H12" i="52"/>
  <c r="H15" i="52"/>
  <c r="I15" i="52" s="1"/>
  <c r="H14" i="52"/>
  <c r="I14" i="52" s="1"/>
  <c r="H8" i="52"/>
  <c r="H9" i="52"/>
  <c r="H10" i="52"/>
  <c r="I8" i="52"/>
  <c r="I9" i="52"/>
  <c r="I10" i="52"/>
  <c r="I11" i="52"/>
  <c r="I12" i="52"/>
  <c r="I16" i="52"/>
  <c r="K37" i="1" l="1"/>
  <c r="D16" i="52"/>
  <c r="L34" i="1"/>
  <c r="K35" i="1"/>
  <c r="D14" i="52"/>
  <c r="K36" i="1"/>
  <c r="D15" i="52"/>
  <c r="K33" i="1"/>
  <c r="J33" i="1" s="1"/>
  <c r="D12" i="52"/>
  <c r="K32" i="1"/>
  <c r="H32" i="1" s="1"/>
  <c r="D11" i="52"/>
  <c r="K34" i="1"/>
  <c r="D13" i="52"/>
  <c r="M30" i="1"/>
  <c r="L30" i="1" s="1"/>
  <c r="M29" i="1"/>
  <c r="L29" i="1" s="1"/>
  <c r="M31" i="1"/>
  <c r="L31" i="1" s="1"/>
  <c r="K31" i="1"/>
  <c r="D10" i="52"/>
  <c r="K30" i="1"/>
  <c r="D9" i="52"/>
  <c r="K29" i="1"/>
  <c r="D8" i="52"/>
  <c r="I6" i="52"/>
  <c r="G5" i="52"/>
  <c r="F5" i="52"/>
  <c r="E5" i="52"/>
  <c r="D3" i="52"/>
  <c r="I7" i="54"/>
  <c r="J37" i="1" l="1"/>
  <c r="I37" i="1" s="1"/>
  <c r="H33" i="1"/>
  <c r="I33" i="1"/>
  <c r="G33" i="1"/>
  <c r="J34" i="1"/>
  <c r="H34" i="1" s="1"/>
  <c r="J35" i="1"/>
  <c r="I35" i="1" s="1"/>
  <c r="J32" i="1"/>
  <c r="I32" i="1" s="1"/>
  <c r="J36" i="1"/>
  <c r="I36" i="1" s="1"/>
  <c r="J29" i="1"/>
  <c r="I29" i="1" s="1"/>
  <c r="J30" i="1"/>
  <c r="I30" i="1" s="1"/>
  <c r="J31" i="1"/>
  <c r="H31" i="1" s="1"/>
  <c r="H30" i="1"/>
  <c r="N28" i="1"/>
  <c r="M28" i="1" s="1"/>
  <c r="G37" i="1" l="1"/>
  <c r="H37" i="1"/>
  <c r="G32" i="1"/>
  <c r="H36" i="1"/>
  <c r="H35" i="1"/>
  <c r="I34" i="1"/>
  <c r="G36" i="1"/>
  <c r="G34" i="1"/>
  <c r="G35" i="1"/>
  <c r="G30" i="1"/>
  <c r="G29" i="1"/>
  <c r="I31" i="1"/>
  <c r="G31" i="1"/>
  <c r="H29" i="1"/>
  <c r="L28" i="1"/>
  <c r="H7" i="52"/>
  <c r="D7" i="52" l="1"/>
  <c r="K28" i="1"/>
  <c r="I7" i="52"/>
  <c r="J28" i="1" l="1"/>
  <c r="M17" i="1" l="1"/>
  <c r="M19" i="1"/>
  <c r="M18" i="1"/>
  <c r="G28" i="1"/>
  <c r="M16" i="1" s="1"/>
  <c r="H28" i="1"/>
  <c r="I28" i="1"/>
  <c r="M8" i="1" l="1"/>
  <c r="M9" i="1"/>
  <c r="M10" i="1"/>
  <c r="M12" i="1"/>
  <c r="M13" i="1"/>
  <c r="M11" i="1"/>
  <c r="M5" i="1"/>
  <c r="M6" i="1"/>
  <c r="M4" i="1"/>
  <c r="M7" i="1"/>
  <c r="M15" i="1"/>
  <c r="M14" i="1"/>
</calcChain>
</file>

<file path=xl/sharedStrings.xml><?xml version="1.0" encoding="utf-8"?>
<sst xmlns="http://schemas.openxmlformats.org/spreadsheetml/2006/main" count="199" uniqueCount="103">
  <si>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</si>
  <si>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</si>
  <si>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</si>
  <si>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</si>
  <si>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</si>
  <si>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</si>
  <si>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</si>
  <si>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</si>
  <si>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</si>
  <si>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</si>
  <si>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</si>
  <si>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</si>
  <si>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</si>
  <si>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</si>
  <si>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</si>
  <si>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</si>
  <si>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</si>
  <si>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</si>
  <si>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</si>
  <si>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</si>
  <si>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</si>
  <si>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</si>
  <si>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</si>
  <si>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</si>
  <si>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</si>
  <si>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</si>
  <si>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</si>
  <si>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</si>
  <si>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</si>
  <si>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</si>
  <si>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</si>
  <si>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</si>
  <si>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</si>
  <si>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</si>
  <si>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</si>
  <si>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</si>
  <si>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</si>
  <si>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</si>
  <si>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</si>
  <si>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</si>
  <si>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</si>
  <si>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</si>
  <si>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</si>
  <si>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</si>
  <si>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</si>
  <si>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</si>
  <si>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</si>
  <si>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</si>
  <si>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</si>
  <si>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</si>
  <si>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</si>
  <si>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</si>
  <si>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</si>
  <si>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</si>
  <si>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</si>
  <si>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</si>
  <si>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</si>
  <si>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</si>
  <si>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</si>
  <si>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</si>
  <si>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</si>
  <si>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</si>
  <si>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</si>
  <si>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</si>
  <si>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</si>
  <si>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</si>
  <si>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</si>
  <si>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</si>
  <si>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</si>
  <si>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</si>
  <si>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</si>
  <si>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</si>
  <si>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</si>
  <si>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</si>
  <si>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</si>
  <si>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</si>
  <si>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</si>
  <si>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Press this button if the program no longer registers your number of tests and students inputs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</si>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</sst>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64" fontId="2" fillId="2" borderId="2" xfId="1" applyNumberFormat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2" fillId="7" borderId="35" xfId="5" applyFont="1" applyBorder="1" applyAlignment="1">
      <alignment horizontal="center"/>
    </xf>
    <xf numFmtId="9" fontId="2" fillId="2" borderId="35" xfId="1" applyFont="1" applyFill="1" applyBorder="1" applyAlignment="1">
      <alignment horizontal="center"/>
    </xf>
    <xf numFmtId="0" fontId="2" fillId="3" borderId="35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8" fillId="0" borderId="1" xfId="1" applyNumberFormat="1" applyFont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96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36B4B"/>
      <color rgb="FFFF6600"/>
      <color rgb="FFABF34B"/>
      <color rgb="FFABF346"/>
      <color rgb="FFABF32B"/>
      <color rgb="FFABF37E"/>
      <color rgb="FFA4DC7E"/>
      <color rgb="FF09AB4B"/>
      <color rgb="FFF3AB4B"/>
      <color rgb="FFF3E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</xdr:row>
          <xdr:rowOff>95250</xdr:rowOff>
        </xdr:from>
        <xdr:to>
          <xdr:col>20</xdr:col>
          <xdr:colOff>361950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37"/>
  <sheetViews>
    <sheetView tabSelected="1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28515625" customWidth="1"/>
    <col min="10" max="10" width="15.85546875" customWidth="1"/>
    <col min="11" max="11" width="14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24" x14ac:dyDescent="0.25">
      <c r="C1" s="34"/>
    </row>
    <row r="2" spans="3:24" ht="15.75" thickBot="1" x14ac:dyDescent="0.3"/>
    <row r="3" spans="3:24" ht="15.75" thickBot="1" x14ac:dyDescent="0.3">
      <c r="C3" s="39" t="s">
        <v>15</v>
      </c>
      <c r="D3" s="67"/>
      <c r="F3" s="122" t="s">
        <v>68</v>
      </c>
      <c r="G3" s="123"/>
      <c r="H3" s="123"/>
      <c r="I3" s="124"/>
      <c r="J3" s="36"/>
      <c r="K3" s="47" t="s">
        <v>26</v>
      </c>
      <c r="L3" s="48" t="s">
        <v>25</v>
      </c>
      <c r="M3" s="48" t="s">
        <v>24</v>
      </c>
      <c r="V3" s="107" t="s">
        <v>77</v>
      </c>
      <c r="W3" s="108"/>
      <c r="X3" s="109"/>
    </row>
    <row r="4" spans="3:24" ht="15.75" thickBot="1" x14ac:dyDescent="0.3">
      <c r="C4" s="43" t="s">
        <v>14</v>
      </c>
      <c r="D4" s="68"/>
      <c r="F4" s="125"/>
      <c r="G4" s="126"/>
      <c r="H4" s="126"/>
      <c r="I4" s="127"/>
      <c r="J4" s="38"/>
      <c r="K4" s="54" t="s">
        <v>16</v>
      </c>
      <c r="L4" s="49" t="s">
        <v>31</v>
      </c>
      <c r="M4" s="60">
        <f>COUNTIF(I$28:I$37, "="&amp;L4)</f>
        <v>1</v>
      </c>
      <c r="V4" s="110"/>
      <c r="W4" s="111"/>
      <c r="X4" s="112"/>
    </row>
    <row r="5" spans="3:24" ht="15.75" thickBot="1" x14ac:dyDescent="0.3">
      <c r="C5" s="41" t="s">
        <v>13</v>
      </c>
      <c r="D5" s="69"/>
      <c r="E5" s="37"/>
      <c r="F5" s="125"/>
      <c r="G5" s="126"/>
      <c r="H5" s="126"/>
      <c r="I5" s="127"/>
      <c r="J5" s="38"/>
      <c r="K5" s="55" t="s">
        <v>17</v>
      </c>
      <c r="L5" s="49" t="s">
        <v>33</v>
      </c>
      <c r="M5" s="60">
        <f>COUNTIF(I$28:I$37, "="&amp;L5)</f>
        <v>0</v>
      </c>
      <c r="V5" s="110"/>
      <c r="W5" s="111"/>
      <c r="X5" s="112"/>
    </row>
    <row r="6" spans="3:24" ht="15.75" thickBot="1" x14ac:dyDescent="0.3">
      <c r="C6" s="43" t="s">
        <v>12</v>
      </c>
      <c r="D6" s="68"/>
      <c r="F6" s="125"/>
      <c r="G6" s="126"/>
      <c r="H6" s="126"/>
      <c r="I6" s="127"/>
      <c r="J6" s="38"/>
      <c r="K6" s="56" t="s">
        <v>18</v>
      </c>
      <c r="L6" s="50" t="s">
        <v>34</v>
      </c>
      <c r="M6" s="60">
        <f>COUNTIF(I$28:I$37, "="&amp;L6)</f>
        <v>1</v>
      </c>
      <c r="V6" s="113"/>
      <c r="W6" s="114"/>
      <c r="X6" s="115"/>
    </row>
    <row r="7" spans="3:24" ht="15.75" thickBot="1" x14ac:dyDescent="0.3">
      <c r="C7" s="41" t="s">
        <v>52</v>
      </c>
      <c r="D7" s="95">
        <v>10</v>
      </c>
      <c r="F7" s="119" t="s">
        <v>66</v>
      </c>
      <c r="G7" s="120"/>
      <c r="H7" s="120"/>
      <c r="I7" s="121"/>
      <c r="J7" s="36"/>
      <c r="K7" s="56" t="s">
        <v>19</v>
      </c>
      <c r="L7" s="50" t="s">
        <v>51</v>
      </c>
      <c r="M7" s="60">
        <f>COUNTIF(I$28:I$37, "="&amp;L7)</f>
        <v>2</v>
      </c>
    </row>
    <row r="8" spans="3:24" ht="15.75" thickBot="1" x14ac:dyDescent="0.3">
      <c r="C8" s="45" t="s">
        <v>53</v>
      </c>
      <c r="D8" s="96">
        <v>4</v>
      </c>
      <c r="F8" s="116" t="s">
        <v>67</v>
      </c>
      <c r="G8" s="117"/>
      <c r="H8" s="117"/>
      <c r="I8" s="118"/>
      <c r="J8" s="36"/>
      <c r="K8" s="56" t="s">
        <v>20</v>
      </c>
      <c r="L8" s="50" t="s">
        <v>38</v>
      </c>
      <c r="M8" s="60">
        <f>COUNTIF(I$28:I$37, "="&amp;L8)</f>
        <v>1</v>
      </c>
    </row>
    <row r="9" spans="3:24" ht="15.75" thickBot="1" x14ac:dyDescent="0.3">
      <c r="J9" s="36"/>
      <c r="K9" s="57" t="s">
        <v>21</v>
      </c>
      <c r="L9" s="51" t="s">
        <v>35</v>
      </c>
      <c r="M9" s="60">
        <f>COUNTIF(I$28:I$37, "="&amp;L9)</f>
        <v>2</v>
      </c>
    </row>
    <row r="10" spans="3:24" x14ac:dyDescent="0.25">
      <c r="C10" s="39" t="s">
        <v>49</v>
      </c>
      <c r="D10" s="40">
        <v>0.5</v>
      </c>
      <c r="F10" s="128" t="s">
        <v>69</v>
      </c>
      <c r="G10" s="129"/>
      <c r="H10" s="129"/>
      <c r="I10" s="130"/>
      <c r="J10" s="36"/>
      <c r="K10" s="57" t="s">
        <v>22</v>
      </c>
      <c r="L10" s="51" t="s">
        <v>32</v>
      </c>
      <c r="M10" s="60">
        <f>COUNTIF(I$28:I$37, "="&amp;L10)</f>
        <v>1</v>
      </c>
    </row>
    <row r="11" spans="3:24" x14ac:dyDescent="0.25">
      <c r="C11" s="43" t="s">
        <v>47</v>
      </c>
      <c r="D11" s="44">
        <v>0.4</v>
      </c>
      <c r="F11" s="119" t="s">
        <v>70</v>
      </c>
      <c r="G11" s="120"/>
      <c r="H11" s="120"/>
      <c r="I11" s="121"/>
      <c r="J11" s="36"/>
      <c r="K11" s="57" t="s">
        <v>23</v>
      </c>
      <c r="L11" s="51" t="s">
        <v>36</v>
      </c>
      <c r="M11" s="60">
        <f>COUNTIF(I$28:I$37, "="&amp;L11)</f>
        <v>1</v>
      </c>
    </row>
    <row r="12" spans="3:24" x14ac:dyDescent="0.25">
      <c r="C12" s="41" t="s">
        <v>44</v>
      </c>
      <c r="D12" s="42">
        <v>0.5</v>
      </c>
      <c r="F12" s="119" t="s">
        <v>72</v>
      </c>
      <c r="G12" s="120"/>
      <c r="H12" s="120"/>
      <c r="I12" s="121"/>
      <c r="J12" s="36"/>
      <c r="K12" s="58" t="s">
        <v>30</v>
      </c>
      <c r="L12" s="52" t="s">
        <v>37</v>
      </c>
      <c r="M12" s="60">
        <f>COUNTIF(I$28:I$37, "="&amp;L12)</f>
        <v>0</v>
      </c>
    </row>
    <row r="13" spans="3:24" ht="15.75" thickBot="1" x14ac:dyDescent="0.3">
      <c r="C13" s="45" t="s">
        <v>48</v>
      </c>
      <c r="D13" s="46">
        <v>0.4</v>
      </c>
      <c r="F13" s="116" t="s">
        <v>71</v>
      </c>
      <c r="G13" s="117"/>
      <c r="H13" s="117"/>
      <c r="I13" s="118"/>
      <c r="J13" s="36"/>
      <c r="K13" s="59" t="s">
        <v>29</v>
      </c>
      <c r="L13" s="53" t="s">
        <v>39</v>
      </c>
      <c r="M13" s="60">
        <f>COUNTIF(I$28:I$37, "="&amp;L13)</f>
        <v>1</v>
      </c>
    </row>
    <row r="14" spans="3:24" x14ac:dyDescent="0.25">
      <c r="J14" s="36"/>
      <c r="K14" s="103" t="s">
        <v>28</v>
      </c>
      <c r="L14" s="104"/>
      <c r="M14" s="61">
        <f>COUNTIF(H28:H37, "=FAIL")</f>
        <v>3</v>
      </c>
    </row>
    <row r="15" spans="3:24" x14ac:dyDescent="0.25">
      <c r="J15" s="36"/>
      <c r="K15" s="105" t="s">
        <v>27</v>
      </c>
      <c r="L15" s="106"/>
      <c r="M15" s="60">
        <f>COUNTIF(H28:H37, "=PASS")</f>
        <v>7</v>
      </c>
    </row>
    <row r="16" spans="3:24" x14ac:dyDescent="0.25">
      <c r="J16" s="36"/>
      <c r="K16" s="105" t="s">
        <v>40</v>
      </c>
      <c r="L16" s="106"/>
      <c r="M16" s="60">
        <f>COUNTIF(G28:G37, "=WRITE SUPP")</f>
        <v>2</v>
      </c>
    </row>
    <row r="17" spans="3:17" x14ac:dyDescent="0.25">
      <c r="J17" s="36"/>
      <c r="K17" s="105" t="s">
        <v>41</v>
      </c>
      <c r="L17" s="106"/>
      <c r="M17" s="62">
        <f>MAX(J28:J37)-MIN(J28:J37)</f>
        <v>0.48981818181818176</v>
      </c>
    </row>
    <row r="18" spans="3:17" x14ac:dyDescent="0.25">
      <c r="J18" s="36"/>
      <c r="K18" s="105" t="s">
        <v>42</v>
      </c>
      <c r="L18" s="106"/>
      <c r="M18" s="62">
        <f>AVERAGE(J28:J37)</f>
        <v>0.61974545454545449</v>
      </c>
    </row>
    <row r="19" spans="3:17" ht="15.75" thickBot="1" x14ac:dyDescent="0.3">
      <c r="J19" s="36"/>
      <c r="K19" s="101" t="s">
        <v>43</v>
      </c>
      <c r="L19" s="102"/>
      <c r="M19" s="63">
        <f>STDEV(J28:J37)</f>
        <v>0.13722781257317357</v>
      </c>
    </row>
    <row r="24" spans="3:17" ht="15.75" thickBot="1" x14ac:dyDescent="0.3"/>
    <row r="25" spans="3:17" ht="15.75" thickBot="1" x14ac:dyDescent="0.3">
      <c r="D25" s="64" t="s">
        <v>3</v>
      </c>
      <c r="E25" s="65" t="s">
        <v>1</v>
      </c>
      <c r="F25" s="65" t="s">
        <v>2</v>
      </c>
      <c r="G25" s="65" t="s">
        <v>46</v>
      </c>
      <c r="H25" s="65" t="s">
        <v>45</v>
      </c>
      <c r="I25" s="65" t="s">
        <v>25</v>
      </c>
      <c r="J25" s="71" t="s">
        <v>9</v>
      </c>
      <c r="K25" s="65" t="s">
        <v>4</v>
      </c>
      <c r="L25" s="74" t="s">
        <v>55</v>
      </c>
      <c r="M25" s="71" t="s">
        <v>50</v>
      </c>
      <c r="N25" s="66" t="str">
        <f ca="1">'Test 1'!D3</f>
        <v>Test 1</v>
      </c>
      <c r="O25" s="66" t="str">
        <f ca="1">'Test 2'!D3</f>
        <v>Test 2</v>
      </c>
      <c r="P25" s="66" t="str">
        <f ca="1">'Oral Assignment 1'!D3</f>
        <v>Oral Assignment 1</v>
      </c>
      <c r="Q25" s="66" t="str">
        <f ca="1">'Test 4'!D3</f>
        <v>Test 4</v>
      </c>
    </row>
    <row r="26" spans="3:17" ht="15.75" thickBot="1" x14ac:dyDescent="0.3">
      <c r="C26" s="26" t="s">
        <v>11</v>
      </c>
      <c r="D26" s="27"/>
      <c r="E26" s="28"/>
      <c r="F26" s="28"/>
      <c r="G26" s="28"/>
      <c r="H26" s="28"/>
      <c r="I26" s="28"/>
      <c r="J26" s="72">
        <v>1</v>
      </c>
      <c r="K26" s="22">
        <v>0.4</v>
      </c>
      <c r="L26" s="75">
        <v>0.6</v>
      </c>
      <c r="M26" s="72"/>
      <c r="N26" s="23"/>
      <c r="O26" s="23"/>
      <c r="P26" s="23"/>
      <c r="Q26" s="23"/>
    </row>
    <row r="27" spans="3:17" ht="15.75" thickBot="1" x14ac:dyDescent="0.3">
      <c r="C27" s="30" t="s">
        <v>54</v>
      </c>
      <c r="D27" s="31"/>
      <c r="E27" s="32"/>
      <c r="F27" s="32"/>
      <c r="G27" s="32"/>
      <c r="H27" s="32"/>
      <c r="I27" s="32"/>
      <c r="J27" s="73"/>
      <c r="K27" s="70"/>
      <c r="L27" s="76"/>
      <c r="M27" s="77">
        <f>SUM(N27:Q27)</f>
        <v>110</v>
      </c>
      <c r="N27" s="33">
        <f>SUM('Test 1'!L6:U6)</f>
        <v>10</v>
      </c>
      <c r="O27" s="33">
        <f>'Test 2'!I6</f>
        <v>30</v>
      </c>
      <c r="P27" s="33">
        <f>'Oral Assignment 1'!I6</f>
        <v>20</v>
      </c>
      <c r="Q27" s="33">
        <f>'Test 4'!I6</f>
        <v>50</v>
      </c>
    </row>
    <row r="28" spans="3:17" x14ac:dyDescent="0.25">
      <c r="D28" s="78" t="s">
        <v>78</v>
      </c>
      <c r="E28" s="132" t="s">
        <v>91</v>
      </c>
      <c r="F28" s="93" t="s">
        <v>80</v>
      </c>
      <c r="G28" s="79" t="str">
        <f>IF(AND(K28&gt;=D$13, J28&gt;=D$11), IF(OR(K28&lt;D$12, J28&lt;D$10), "WRITE SUPP", "NO SUPP"), "NO SUPP")</f>
        <v>NO SUPP</v>
      </c>
      <c r="H28" s="79" t="str">
        <f>IF(K28&gt;=D$12, IF(J28&gt;=D$10, "PASS", "FAIL"), "FAIL")</f>
        <v>PASS</v>
      </c>
      <c r="I28" s="79" t="str">
        <f>IF(J28&gt;=0.8, L$4, IF(J28&gt;=0.75, L$5, IF(J28&gt;=0.7, L$6, IF(J28&gt;=0.65, L$7, IF(J28&gt;=0.6, L$8, IF(J28&gt;=0.55, L$9, IF(J28&gt;=0.5, L$10, IF(J28&gt;=0.45, L$11, IF(J28&gt;=0.4, L$12, L$13)))))))))</f>
        <v>B</v>
      </c>
      <c r="J28" s="94">
        <f>K$26*K28+L$26*L28</f>
        <v>0.69090909090909092</v>
      </c>
      <c r="K28" s="94">
        <f>Exam!H7</f>
        <v>0.72499999999999998</v>
      </c>
      <c r="L28" s="94">
        <f>M28/M$27</f>
        <v>0.66818181818181821</v>
      </c>
      <c r="M28" s="79">
        <f>SUM(N28:Q28)</f>
        <v>73.5</v>
      </c>
      <c r="N28" s="80">
        <f>'Test 1'!I7</f>
        <v>4</v>
      </c>
      <c r="O28" s="80">
        <f>'Test 2'!I7</f>
        <v>20.5</v>
      </c>
      <c r="P28" s="80">
        <f>'Oral Assignment 1'!I7</f>
        <v>16</v>
      </c>
      <c r="Q28" s="80">
        <f>'Test 4'!I7</f>
        <v>33</v>
      </c>
    </row>
    <row r="29" spans="3:17" x14ac:dyDescent="0.25">
      <c r="D29" s="78" t="s">
        <v>81</v>
      </c>
      <c r="E29" s="132" t="s">
        <v>79</v>
      </c>
      <c r="F29" s="93" t="s">
        <v>83</v>
      </c>
      <c r="G29" s="79" t="str">
        <f t="shared" ref="G29:G31" si="0">IF(AND(K29&gt;=D$13, J29&gt;=D$11), IF(OR(K29&lt;D$12, J29&lt;D$10), "WRITE SUPP", "NO SUPP"), "NO SUPP")</f>
        <v>NO SUPP</v>
      </c>
      <c r="H29" s="79" t="str">
        <f t="shared" ref="H29:H31" si="1">IF(K29&gt;=D$12, IF(J29&gt;=D$10, "PASS", "FAIL"), "FAIL")</f>
        <v>PASS</v>
      </c>
      <c r="I29" s="79" t="str">
        <f t="shared" ref="I29:I31" si="2">IF(J29&gt;=0.8, L$4, IF(J29&gt;=0.75, L$5, IF(J29&gt;=0.7, L$6, IF(J29&gt;=0.65, L$7, IF(J29&gt;=0.6, L$8, IF(J29&gt;=0.55, L$9, IF(J29&gt;=0.5, L$10, IF(J29&gt;=0.45, L$11, IF(J29&gt;=0.4, L$12, L$13)))))))))</f>
        <v>A</v>
      </c>
      <c r="J29" s="94">
        <f t="shared" ref="J29:J31" si="3">K$26*K29+L$26*L29</f>
        <v>0.88527272727272721</v>
      </c>
      <c r="K29" s="94">
        <f>Exam!H8</f>
        <v>0.87</v>
      </c>
      <c r="L29" s="94">
        <f t="shared" ref="L29:L31" si="4">M29/M$27</f>
        <v>0.8954545454545455</v>
      </c>
      <c r="M29" s="79">
        <f>SUM(N29:Q29)</f>
        <v>98.5</v>
      </c>
      <c r="N29" s="80">
        <f>'Test 1'!I8</f>
        <v>8</v>
      </c>
      <c r="O29" s="80">
        <f>'Test 2'!I8</f>
        <v>25.5</v>
      </c>
      <c r="P29" s="80">
        <f>'Oral Assignment 1'!I8</f>
        <v>19</v>
      </c>
      <c r="Q29" s="80">
        <f>'Test 4'!I8</f>
        <v>46</v>
      </c>
    </row>
    <row r="30" spans="3:17" x14ac:dyDescent="0.25">
      <c r="D30" s="78" t="s">
        <v>82</v>
      </c>
      <c r="E30" s="78" t="s">
        <v>86</v>
      </c>
      <c r="F30" s="93" t="s">
        <v>84</v>
      </c>
      <c r="G30" s="79" t="str">
        <f t="shared" si="0"/>
        <v>NO SUPP</v>
      </c>
      <c r="H30" s="79" t="str">
        <f t="shared" si="1"/>
        <v>FAIL</v>
      </c>
      <c r="I30" s="79" t="str">
        <f t="shared" si="2"/>
        <v>F</v>
      </c>
      <c r="J30" s="94">
        <f t="shared" si="3"/>
        <v>0.39545454545454545</v>
      </c>
      <c r="K30" s="94">
        <f>Exam!H9</f>
        <v>0.45</v>
      </c>
      <c r="L30" s="94">
        <f t="shared" si="4"/>
        <v>0.35909090909090907</v>
      </c>
      <c r="M30" s="79">
        <f>SUM(N30:Q30)</f>
        <v>39.5</v>
      </c>
      <c r="N30" s="80">
        <f>'Test 1'!I9</f>
        <v>4</v>
      </c>
      <c r="O30" s="80">
        <f>'Test 2'!I9</f>
        <v>10.500000000000002</v>
      </c>
      <c r="P30" s="80">
        <f>'Oral Assignment 1'!I9</f>
        <v>9</v>
      </c>
      <c r="Q30" s="80">
        <f>'Test 4'!I9</f>
        <v>16</v>
      </c>
    </row>
    <row r="31" spans="3:17" x14ac:dyDescent="0.25">
      <c r="D31" s="78" t="s">
        <v>87</v>
      </c>
      <c r="E31" s="78" t="s">
        <v>88</v>
      </c>
      <c r="F31" s="93" t="s">
        <v>85</v>
      </c>
      <c r="G31" s="79" t="str">
        <f t="shared" si="0"/>
        <v>NO SUPP</v>
      </c>
      <c r="H31" s="79" t="str">
        <f t="shared" si="1"/>
        <v>PASS</v>
      </c>
      <c r="I31" s="79" t="str">
        <f t="shared" si="2"/>
        <v>C</v>
      </c>
      <c r="J31" s="94">
        <f t="shared" si="3"/>
        <v>0.54745454545454542</v>
      </c>
      <c r="K31" s="94">
        <f>Exam!H10</f>
        <v>0.53</v>
      </c>
      <c r="L31" s="94">
        <f t="shared" si="4"/>
        <v>0.55909090909090908</v>
      </c>
      <c r="M31" s="79">
        <f>SUM(N31:Q31)</f>
        <v>61.5</v>
      </c>
      <c r="N31" s="80">
        <f>'Test 1'!I10</f>
        <v>5</v>
      </c>
      <c r="O31" s="80">
        <f>'Test 2'!I10</f>
        <v>15.499999999999998</v>
      </c>
      <c r="P31" s="80">
        <f>'Oral Assignment 1'!I10</f>
        <v>11</v>
      </c>
      <c r="Q31" s="80">
        <f>'Test 4'!I10</f>
        <v>30</v>
      </c>
    </row>
    <row r="32" spans="3:17" x14ac:dyDescent="0.25">
      <c r="D32" s="78" t="s">
        <v>90</v>
      </c>
      <c r="E32" s="78" t="s">
        <v>89</v>
      </c>
      <c r="F32" s="93" t="s">
        <v>92</v>
      </c>
      <c r="G32" s="79" t="str">
        <f t="shared" ref="G32:G36" si="5">IF(AND(K32&gt;=D$13, J32&gt;=D$11), IF(OR(K32&lt;D$12, J32&lt;D$10), "WRITE SUPP", "NO SUPP"), "NO SUPP")</f>
        <v>WRITE SUPP</v>
      </c>
      <c r="H32" s="79" t="str">
        <f t="shared" ref="H32:H36" si="6">IF(K32&gt;=D$12, IF(J32&gt;=D$10, "PASS", "FAIL"), "FAIL")</f>
        <v>FAIL</v>
      </c>
      <c r="I32" s="79" t="str">
        <f t="shared" ref="I32:I36" si="7">IF(J32&gt;=0.8, L$4, IF(J32&gt;=0.75, L$5, IF(J32&gt;=0.7, L$6, IF(J32&gt;=0.65, L$7, IF(J32&gt;=0.6, L$8, IF(J32&gt;=0.55, L$9, IF(J32&gt;=0.5, L$10, IF(J32&gt;=0.45, L$11, IF(J32&gt;=0.4, L$12, L$13)))))))))</f>
        <v>C+</v>
      </c>
      <c r="J32" s="94">
        <f t="shared" ref="J32:J36" si="8">K$26*K32+L$26*L32</f>
        <v>0.58127272727272727</v>
      </c>
      <c r="K32" s="94">
        <f>Exam!H11</f>
        <v>0.41</v>
      </c>
      <c r="L32" s="94">
        <f t="shared" ref="L32:L36" si="9">M32/M$27</f>
        <v>0.69545454545454544</v>
      </c>
      <c r="M32" s="79">
        <f>SUM(N32:Q32)</f>
        <v>76.5</v>
      </c>
      <c r="N32" s="80">
        <f>'Test 1'!I11</f>
        <v>6</v>
      </c>
      <c r="O32" s="80">
        <f>'Test 2'!I11</f>
        <v>16.499999999999996</v>
      </c>
      <c r="P32" s="80">
        <f>'Oral Assignment 1'!I11</f>
        <v>19</v>
      </c>
      <c r="Q32" s="80">
        <f>'Test 4'!I11</f>
        <v>35</v>
      </c>
    </row>
    <row r="33" spans="4:17" x14ac:dyDescent="0.25">
      <c r="D33" s="78" t="s">
        <v>94</v>
      </c>
      <c r="E33" s="78" t="s">
        <v>93</v>
      </c>
      <c r="F33" s="93" t="s">
        <v>95</v>
      </c>
      <c r="G33" s="79" t="str">
        <f t="shared" si="5"/>
        <v>WRITE SUPP</v>
      </c>
      <c r="H33" s="79" t="str">
        <f t="shared" si="6"/>
        <v>FAIL</v>
      </c>
      <c r="I33" s="79" t="str">
        <f t="shared" si="7"/>
        <v>C-</v>
      </c>
      <c r="J33" s="94">
        <f t="shared" si="8"/>
        <v>0.48363636363636364</v>
      </c>
      <c r="K33" s="94">
        <f>Exam!H12</f>
        <v>0.65</v>
      </c>
      <c r="L33" s="94">
        <f t="shared" si="9"/>
        <v>0.37272727272727274</v>
      </c>
      <c r="M33" s="79">
        <f>SUM(N33:Q33)</f>
        <v>41</v>
      </c>
      <c r="N33" s="80">
        <f>'Test 1'!I12</f>
        <v>3.5000000000000004</v>
      </c>
      <c r="O33" s="80">
        <f>'Test 2'!I12</f>
        <v>9.5</v>
      </c>
      <c r="P33" s="80">
        <f>'Oral Assignment 1'!I12</f>
        <v>11</v>
      </c>
      <c r="Q33" s="80">
        <f>'Test 4'!I12</f>
        <v>17</v>
      </c>
    </row>
    <row r="34" spans="4:17" x14ac:dyDescent="0.25">
      <c r="D34" s="78" t="s">
        <v>97</v>
      </c>
      <c r="E34" s="78" t="s">
        <v>96</v>
      </c>
      <c r="F34" s="93" t="s">
        <v>99</v>
      </c>
      <c r="G34" s="79" t="str">
        <f t="shared" si="5"/>
        <v>NO SUPP</v>
      </c>
      <c r="H34" s="79" t="str">
        <f t="shared" si="6"/>
        <v>PASS</v>
      </c>
      <c r="I34" s="79" t="str">
        <f t="shared" si="7"/>
        <v>C+</v>
      </c>
      <c r="J34" s="94">
        <f t="shared" si="8"/>
        <v>0.58654545454545448</v>
      </c>
      <c r="K34" s="94">
        <f>Exam!H13</f>
        <v>0.57999999999999996</v>
      </c>
      <c r="L34" s="94">
        <f t="shared" si="9"/>
        <v>0.59090909090909094</v>
      </c>
      <c r="M34" s="79">
        <f>SUM(N34:Q34)</f>
        <v>65</v>
      </c>
      <c r="N34" s="80">
        <f>'Test 1'!I13</f>
        <v>6</v>
      </c>
      <c r="O34" s="80" t="str">
        <f>'Test 2'!I13</f>
        <v>INVALID MARK</v>
      </c>
      <c r="P34" s="80">
        <f>'Oral Assignment 1'!I13</f>
        <v>12</v>
      </c>
      <c r="Q34" s="80">
        <f>'Test 4'!I13</f>
        <v>47</v>
      </c>
    </row>
    <row r="35" spans="4:17" x14ac:dyDescent="0.25">
      <c r="D35" s="78" t="s">
        <v>97</v>
      </c>
      <c r="E35" s="78" t="s">
        <v>101</v>
      </c>
      <c r="F35" s="93" t="s">
        <v>100</v>
      </c>
      <c r="G35" s="79" t="str">
        <f t="shared" si="5"/>
        <v>NO SUPP</v>
      </c>
      <c r="H35" s="79" t="str">
        <f t="shared" si="6"/>
        <v>PASS</v>
      </c>
      <c r="I35" s="79" t="str">
        <f t="shared" si="7"/>
        <v>B-</v>
      </c>
      <c r="J35" s="94">
        <f t="shared" si="8"/>
        <v>0.60872727272727267</v>
      </c>
      <c r="K35" s="94">
        <f>Exam!H14</f>
        <v>0.69</v>
      </c>
      <c r="L35" s="94">
        <f t="shared" si="9"/>
        <v>0.55454545454545456</v>
      </c>
      <c r="M35" s="79">
        <f>SUM(N35:Q35)</f>
        <v>61</v>
      </c>
      <c r="N35" s="80" t="str">
        <f>'Test 1'!I14</f>
        <v>INVALID MARK</v>
      </c>
      <c r="O35" s="80">
        <f>'Test 2'!I14</f>
        <v>17</v>
      </c>
      <c r="P35" s="80">
        <f>'Oral Assignment 1'!I14</f>
        <v>13</v>
      </c>
      <c r="Q35" s="80">
        <f>'Test 4'!I14</f>
        <v>31</v>
      </c>
    </row>
    <row r="36" spans="4:17" x14ac:dyDescent="0.25">
      <c r="D36" s="78" t="s">
        <v>97</v>
      </c>
      <c r="E36" s="78" t="s">
        <v>98</v>
      </c>
      <c r="F36" s="93" t="s">
        <v>102</v>
      </c>
      <c r="G36" s="79" t="str">
        <f t="shared" si="5"/>
        <v>NO SUPP</v>
      </c>
      <c r="H36" s="79" t="str">
        <f t="shared" si="6"/>
        <v>PASS</v>
      </c>
      <c r="I36" s="79" t="str">
        <f t="shared" si="7"/>
        <v>B</v>
      </c>
      <c r="J36" s="94">
        <f t="shared" si="8"/>
        <v>0.68472727272727274</v>
      </c>
      <c r="K36" s="94">
        <f>Exam!H15</f>
        <v>0.80500000000000005</v>
      </c>
      <c r="L36" s="94">
        <f t="shared" si="9"/>
        <v>0.6045454545454545</v>
      </c>
      <c r="M36" s="79">
        <f>SUM(N36:Q36)</f>
        <v>66.5</v>
      </c>
      <c r="N36" s="80">
        <f>'Test 1'!I15</f>
        <v>9</v>
      </c>
      <c r="O36" s="80">
        <f>'Test 2'!I15</f>
        <v>12.5</v>
      </c>
      <c r="P36" s="80" t="str">
        <f>'Oral Assignment 1'!I15</f>
        <v>MISSING MARK</v>
      </c>
      <c r="Q36" s="80">
        <f>'Test 4'!I15</f>
        <v>45</v>
      </c>
    </row>
    <row r="37" spans="4:17" x14ac:dyDescent="0.25">
      <c r="D37" s="78" t="s">
        <v>2</v>
      </c>
      <c r="E37" s="78" t="s">
        <v>98</v>
      </c>
      <c r="F37" s="93"/>
      <c r="G37" s="79" t="str">
        <f t="shared" ref="G37" si="10">IF(AND(K37&gt;=D$13, J37&gt;=D$11), IF(OR(K37&lt;D$12, J37&lt;D$10), "WRITE SUPP", "NO SUPP"), "NO SUPP")</f>
        <v>NO SUPP</v>
      </c>
      <c r="H37" s="79" t="str">
        <f t="shared" ref="H37" si="11">IF(K37&gt;=D$12, IF(J37&gt;=D$10, "PASS", "FAIL"), "FAIL")</f>
        <v>PASS</v>
      </c>
      <c r="I37" s="79" t="str">
        <f t="shared" ref="I37" si="12">IF(J37&gt;=0.8, L$4, IF(J37&gt;=0.75, L$5, IF(J37&gt;=0.7, L$6, IF(J37&gt;=0.65, L$7, IF(J37&gt;=0.6, L$8, IF(J37&gt;=0.55, L$9, IF(J37&gt;=0.5, L$10, IF(J37&gt;=0.45, L$11, IF(J37&gt;=0.4, L$12, L$13)))))))))</f>
        <v>B+</v>
      </c>
      <c r="J37" s="94">
        <f t="shared" ref="J37" si="13">K$26*K37+L$26*L37</f>
        <v>0.73345454545454558</v>
      </c>
      <c r="K37" s="94">
        <f>Exam!H16</f>
        <v>0.77</v>
      </c>
      <c r="L37" s="94">
        <f t="shared" ref="L37" si="14">M37/M$27</f>
        <v>0.70909090909090911</v>
      </c>
      <c r="M37" s="79">
        <f>SUM(N37:Q37)</f>
        <v>78</v>
      </c>
      <c r="N37" s="80">
        <f>'Test 1'!I16</f>
        <v>10</v>
      </c>
      <c r="O37" s="80">
        <f>'Test 2'!I16</f>
        <v>19.499999999999996</v>
      </c>
      <c r="P37" s="80">
        <f>'Oral Assignment 1'!I16</f>
        <v>12.5</v>
      </c>
      <c r="Q37" s="80">
        <f>'Test 4'!I16</f>
        <v>36</v>
      </c>
    </row>
  </sheetData>
  <dataConsolidate/>
  <mergeCells count="14">
    <mergeCell ref="V3:X6"/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">
    <cfRule type="containsText" dxfId="195" priority="3581" operator="containsText" text="A">
      <formula>NOT(ISERROR(SEARCH("A",I28)))</formula>
    </cfRule>
  </conditionalFormatting>
  <conditionalFormatting sqref="G28">
    <cfRule type="containsText" dxfId="194" priority="3580" operator="containsText" text="WRITE SUPP">
      <formula>NOT(ISERROR(SEARCH("WRITE SUPP",G28)))</formula>
    </cfRule>
  </conditionalFormatting>
  <conditionalFormatting sqref="J28">
    <cfRule type="cellIs" dxfId="193" priority="3582" operator="lessThan">
      <formula>$D$10</formula>
    </cfRule>
  </conditionalFormatting>
  <conditionalFormatting sqref="K28">
    <cfRule type="containsText" dxfId="192" priority="3576" operator="containsText" text="INVALID MARK">
      <formula>NOT(ISERROR(SEARCH("INVALID MARK",K28)))</formula>
    </cfRule>
    <cfRule type="cellIs" dxfId="191" priority="3583" operator="lessThan">
      <formula>$D$12</formula>
    </cfRule>
    <cfRule type="cellIs" priority="3584" operator="greaterThanOrEqual">
      <formula>$D$12</formula>
    </cfRule>
    <cfRule type="expression" dxfId="190" priority="3585">
      <formula>"&gt;=$D$10"</formula>
    </cfRule>
  </conditionalFormatting>
  <conditionalFormatting sqref="N28">
    <cfRule type="containsText" dxfId="189" priority="3577" operator="containsText" text="INVALID MARK">
      <formula>NOT(ISERROR(SEARCH("INVALID MARK",N28)))</formula>
    </cfRule>
    <cfRule type="containsText" dxfId="188" priority="3578" operator="containsText" text="INVALID ENTRY">
      <formula>NOT(ISERROR(SEARCH("INVALID ENTRY",N28)))</formula>
    </cfRule>
    <cfRule type="containsText" dxfId="187" priority="3579" operator="containsText" text="MISSING MARK">
      <formula>NOT(ISERROR(SEARCH("MISSING MARK",N28)))</formula>
    </cfRule>
  </conditionalFormatting>
  <conditionalFormatting sqref="H28">
    <cfRule type="containsText" dxfId="186" priority="3575" operator="containsText" text="FAIL">
      <formula>NOT(ISERROR(SEARCH("FAIL",H28)))</formula>
    </cfRule>
  </conditionalFormatting>
  <conditionalFormatting sqref="I28">
    <cfRule type="containsText" dxfId="185" priority="3331" operator="containsText" text="F">
      <formula>NOT(ISERROR(SEARCH("F",I28)))</formula>
    </cfRule>
    <cfRule type="containsText" dxfId="184" priority="3332" operator="containsText" text="D">
      <formula>NOT(ISERROR(SEARCH("D",I28)))</formula>
    </cfRule>
    <cfRule type="containsText" dxfId="183" priority="3333" operator="containsText" text="C">
      <formula>NOT(ISERROR(SEARCH("C",I28)))</formula>
    </cfRule>
    <cfRule type="containsText" dxfId="182" priority="3334" operator="containsText" text="B">
      <formula>NOT(ISERROR(SEARCH("B",I28)))</formula>
    </cfRule>
  </conditionalFormatting>
  <conditionalFormatting sqref="I29:I31">
    <cfRule type="containsText" dxfId="181" priority="140" operator="containsText" text="A">
      <formula>NOT(ISERROR(SEARCH("A",I29)))</formula>
    </cfRule>
  </conditionalFormatting>
  <conditionalFormatting sqref="G29:G31">
    <cfRule type="containsText" dxfId="180" priority="139" operator="containsText" text="WRITE SUPP">
      <formula>NOT(ISERROR(SEARCH("WRITE SUPP",G29)))</formula>
    </cfRule>
  </conditionalFormatting>
  <conditionalFormatting sqref="J29:J31">
    <cfRule type="cellIs" dxfId="179" priority="141" operator="lessThan">
      <formula>$D$10</formula>
    </cfRule>
  </conditionalFormatting>
  <conditionalFormatting sqref="K29:K31">
    <cfRule type="containsText" dxfId="178" priority="135" operator="containsText" text="INVALID MARK">
      <formula>NOT(ISERROR(SEARCH("INVALID MARK",K29)))</formula>
    </cfRule>
    <cfRule type="cellIs" dxfId="177" priority="142" operator="lessThan">
      <formula>$D$12</formula>
    </cfRule>
    <cfRule type="cellIs" priority="143" operator="greaterThanOrEqual">
      <formula>$D$12</formula>
    </cfRule>
    <cfRule type="expression" dxfId="176" priority="144">
      <formula>"&gt;=$D$10"</formula>
    </cfRule>
  </conditionalFormatting>
  <conditionalFormatting sqref="N29:N31">
    <cfRule type="containsText" dxfId="175" priority="136" operator="containsText" text="INVALID MARK">
      <formula>NOT(ISERROR(SEARCH("INVALID MARK",N29)))</formula>
    </cfRule>
    <cfRule type="containsText" dxfId="174" priority="137" operator="containsText" text="INVALID ENTRY">
      <formula>NOT(ISERROR(SEARCH("INVALID ENTRY",N29)))</formula>
    </cfRule>
    <cfRule type="containsText" dxfId="173" priority="138" operator="containsText" text="MISSING MARK">
      <formula>NOT(ISERROR(SEARCH("MISSING MARK",N29)))</formula>
    </cfRule>
  </conditionalFormatting>
  <conditionalFormatting sqref="H29:H31">
    <cfRule type="containsText" dxfId="172" priority="134" operator="containsText" text="FAIL">
      <formula>NOT(ISERROR(SEARCH("FAIL",H29)))</formula>
    </cfRule>
  </conditionalFormatting>
  <conditionalFormatting sqref="I29:I31">
    <cfRule type="containsText" dxfId="171" priority="130" operator="containsText" text="F">
      <formula>NOT(ISERROR(SEARCH("F",I29)))</formula>
    </cfRule>
    <cfRule type="containsText" dxfId="170" priority="131" operator="containsText" text="D">
      <formula>NOT(ISERROR(SEARCH("D",I29)))</formula>
    </cfRule>
    <cfRule type="containsText" dxfId="169" priority="132" operator="containsText" text="C">
      <formula>NOT(ISERROR(SEARCH("C",I29)))</formula>
    </cfRule>
    <cfRule type="containsText" dxfId="168" priority="133" operator="containsText" text="B">
      <formula>NOT(ISERROR(SEARCH("B",I29)))</formula>
    </cfRule>
  </conditionalFormatting>
  <conditionalFormatting sqref="O28">
    <cfRule type="containsText" dxfId="167" priority="127" operator="containsText" text="INVALID MARK">
      <formula>NOT(ISERROR(SEARCH("INVALID MARK",O28)))</formula>
    </cfRule>
    <cfRule type="containsText" dxfId="166" priority="128" operator="containsText" text="INVALID ENTRY">
      <formula>NOT(ISERROR(SEARCH("INVALID ENTRY",O28)))</formula>
    </cfRule>
    <cfRule type="containsText" dxfId="165" priority="129" operator="containsText" text="MISSING MARK">
      <formula>NOT(ISERROR(SEARCH("MISSING MARK",O28)))</formula>
    </cfRule>
  </conditionalFormatting>
  <conditionalFormatting sqref="O29:O31">
    <cfRule type="containsText" dxfId="164" priority="124" operator="containsText" text="INVALID MARK">
      <formula>NOT(ISERROR(SEARCH("INVALID MARK",O29)))</formula>
    </cfRule>
    <cfRule type="containsText" dxfId="163" priority="125" operator="containsText" text="INVALID ENTRY">
      <formula>NOT(ISERROR(SEARCH("INVALID ENTRY",O29)))</formula>
    </cfRule>
    <cfRule type="containsText" dxfId="162" priority="126" operator="containsText" text="MISSING MARK">
      <formula>NOT(ISERROR(SEARCH("MISSING MARK",O29)))</formula>
    </cfRule>
  </conditionalFormatting>
  <conditionalFormatting sqref="P28">
    <cfRule type="containsText" dxfId="161" priority="121" operator="containsText" text="INVALID MARK">
      <formula>NOT(ISERROR(SEARCH("INVALID MARK",P28)))</formula>
    </cfRule>
    <cfRule type="containsText" dxfId="160" priority="122" operator="containsText" text="INVALID ENTRY">
      <formula>NOT(ISERROR(SEARCH("INVALID ENTRY",P28)))</formula>
    </cfRule>
    <cfRule type="containsText" dxfId="159" priority="123" operator="containsText" text="MISSING MARK">
      <formula>NOT(ISERROR(SEARCH("MISSING MARK",P28)))</formula>
    </cfRule>
  </conditionalFormatting>
  <conditionalFormatting sqref="P29:P31">
    <cfRule type="containsText" dxfId="158" priority="118" operator="containsText" text="INVALID MARK">
      <formula>NOT(ISERROR(SEARCH("INVALID MARK",P29)))</formula>
    </cfRule>
    <cfRule type="containsText" dxfId="157" priority="119" operator="containsText" text="INVALID ENTRY">
      <formula>NOT(ISERROR(SEARCH("INVALID ENTRY",P29)))</formula>
    </cfRule>
    <cfRule type="containsText" dxfId="156" priority="120" operator="containsText" text="MISSING MARK">
      <formula>NOT(ISERROR(SEARCH("MISSING MARK",P29)))</formula>
    </cfRule>
  </conditionalFormatting>
  <conditionalFormatting sqref="Q28">
    <cfRule type="containsText" dxfId="155" priority="109" operator="containsText" text="INVALID MARK">
      <formula>NOT(ISERROR(SEARCH("INVALID MARK",Q28)))</formula>
    </cfRule>
    <cfRule type="containsText" dxfId="154" priority="110" operator="containsText" text="INVALID ENTRY">
      <formula>NOT(ISERROR(SEARCH("INVALID ENTRY",Q28)))</formula>
    </cfRule>
    <cfRule type="containsText" dxfId="153" priority="111" operator="containsText" text="MISSING MARK">
      <formula>NOT(ISERROR(SEARCH("MISSING MARK",Q28)))</formula>
    </cfRule>
  </conditionalFormatting>
  <conditionalFormatting sqref="Q29:Q31">
    <cfRule type="containsText" dxfId="152" priority="106" operator="containsText" text="INVALID MARK">
      <formula>NOT(ISERROR(SEARCH("INVALID MARK",Q29)))</formula>
    </cfRule>
    <cfRule type="containsText" dxfId="151" priority="107" operator="containsText" text="INVALID ENTRY">
      <formula>NOT(ISERROR(SEARCH("INVALID ENTRY",Q29)))</formula>
    </cfRule>
    <cfRule type="containsText" dxfId="150" priority="108" operator="containsText" text="MISSING MARK">
      <formula>NOT(ISERROR(SEARCH("MISSING MARK",Q29)))</formula>
    </cfRule>
  </conditionalFormatting>
  <conditionalFormatting sqref="I32:I36">
    <cfRule type="containsText" dxfId="149" priority="101" operator="containsText" text="A">
      <formula>NOT(ISERROR(SEARCH("A",I32)))</formula>
    </cfRule>
  </conditionalFormatting>
  <conditionalFormatting sqref="G32:G36">
    <cfRule type="containsText" dxfId="148" priority="100" operator="containsText" text="WRITE SUPP">
      <formula>NOT(ISERROR(SEARCH("WRITE SUPP",G32)))</formula>
    </cfRule>
  </conditionalFormatting>
  <conditionalFormatting sqref="J32:J36">
    <cfRule type="cellIs" dxfId="147" priority="102" operator="lessThan">
      <formula>$D$10</formula>
    </cfRule>
  </conditionalFormatting>
  <conditionalFormatting sqref="K32:K36">
    <cfRule type="containsText" dxfId="146" priority="96" operator="containsText" text="INVALID MARK">
      <formula>NOT(ISERROR(SEARCH("INVALID MARK",K32)))</formula>
    </cfRule>
    <cfRule type="cellIs" dxfId="145" priority="103" operator="lessThan">
      <formula>$D$12</formula>
    </cfRule>
    <cfRule type="cellIs" priority="104" operator="greaterThanOrEqual">
      <formula>$D$12</formula>
    </cfRule>
    <cfRule type="expression" dxfId="144" priority="105">
      <formula>"&gt;=$D$10"</formula>
    </cfRule>
  </conditionalFormatting>
  <conditionalFormatting sqref="N32:N36">
    <cfRule type="containsText" dxfId="143" priority="97" operator="containsText" text="INVALID MARK">
      <formula>NOT(ISERROR(SEARCH("INVALID MARK",N32)))</formula>
    </cfRule>
    <cfRule type="containsText" dxfId="142" priority="98" operator="containsText" text="INVALID ENTRY">
      <formula>NOT(ISERROR(SEARCH("INVALID ENTRY",N32)))</formula>
    </cfRule>
    <cfRule type="containsText" dxfId="141" priority="99" operator="containsText" text="MISSING MARK">
      <formula>NOT(ISERROR(SEARCH("MISSING MARK",N32)))</formula>
    </cfRule>
  </conditionalFormatting>
  <conditionalFormatting sqref="H32:H36">
    <cfRule type="containsText" dxfId="140" priority="95" operator="containsText" text="FAIL">
      <formula>NOT(ISERROR(SEARCH("FAIL",H32)))</formula>
    </cfRule>
  </conditionalFormatting>
  <conditionalFormatting sqref="I32:I36">
    <cfRule type="containsText" dxfId="139" priority="91" operator="containsText" text="F">
      <formula>NOT(ISERROR(SEARCH("F",I32)))</formula>
    </cfRule>
    <cfRule type="containsText" dxfId="138" priority="92" operator="containsText" text="D">
      <formula>NOT(ISERROR(SEARCH("D",I32)))</formula>
    </cfRule>
    <cfRule type="containsText" dxfId="137" priority="93" operator="containsText" text="C">
      <formula>NOT(ISERROR(SEARCH("C",I32)))</formula>
    </cfRule>
    <cfRule type="containsText" dxfId="136" priority="94" operator="containsText" text="B">
      <formula>NOT(ISERROR(SEARCH("B",I32)))</formula>
    </cfRule>
  </conditionalFormatting>
  <conditionalFormatting sqref="O32:O36">
    <cfRule type="containsText" dxfId="135" priority="88" operator="containsText" text="INVALID MARK">
      <formula>NOT(ISERROR(SEARCH("INVALID MARK",O32)))</formula>
    </cfRule>
    <cfRule type="containsText" dxfId="134" priority="89" operator="containsText" text="INVALID ENTRY">
      <formula>NOT(ISERROR(SEARCH("INVALID ENTRY",O32)))</formula>
    </cfRule>
    <cfRule type="containsText" dxfId="133" priority="90" operator="containsText" text="MISSING MARK">
      <formula>NOT(ISERROR(SEARCH("MISSING MARK",O32)))</formula>
    </cfRule>
  </conditionalFormatting>
  <conditionalFormatting sqref="P32:P36">
    <cfRule type="containsText" dxfId="132" priority="85" operator="containsText" text="INVALID MARK">
      <formula>NOT(ISERROR(SEARCH("INVALID MARK",P32)))</formula>
    </cfRule>
    <cfRule type="containsText" dxfId="131" priority="86" operator="containsText" text="INVALID ENTRY">
      <formula>NOT(ISERROR(SEARCH("INVALID ENTRY",P32)))</formula>
    </cfRule>
    <cfRule type="containsText" dxfId="130" priority="87" operator="containsText" text="MISSING MARK">
      <formula>NOT(ISERROR(SEARCH("MISSING MARK",P32)))</formula>
    </cfRule>
  </conditionalFormatting>
  <conditionalFormatting sqref="Q32:Q36">
    <cfRule type="containsText" dxfId="129" priority="82" operator="containsText" text="INVALID MARK">
      <formula>NOT(ISERROR(SEARCH("INVALID MARK",Q32)))</formula>
    </cfRule>
    <cfRule type="containsText" dxfId="128" priority="83" operator="containsText" text="INVALID ENTRY">
      <formula>NOT(ISERROR(SEARCH("INVALID ENTRY",Q32)))</formula>
    </cfRule>
    <cfRule type="containsText" dxfId="127" priority="84" operator="containsText" text="MISSING MARK">
      <formula>NOT(ISERROR(SEARCH("MISSING MARK",Q32)))</formula>
    </cfRule>
  </conditionalFormatting>
  <conditionalFormatting sqref="I37">
    <cfRule type="containsText" dxfId="126" priority="68" operator="containsText" text="A">
      <formula>NOT(ISERROR(SEARCH("A",I37)))</formula>
    </cfRule>
  </conditionalFormatting>
  <conditionalFormatting sqref="G37">
    <cfRule type="containsText" dxfId="125" priority="67" operator="containsText" text="WRITE SUPP">
      <formula>NOT(ISERROR(SEARCH("WRITE SUPP",G37)))</formula>
    </cfRule>
  </conditionalFormatting>
  <conditionalFormatting sqref="J37">
    <cfRule type="cellIs" dxfId="124" priority="69" operator="lessThan">
      <formula>$D$10</formula>
    </cfRule>
  </conditionalFormatting>
  <conditionalFormatting sqref="K37">
    <cfRule type="containsText" dxfId="123" priority="63" operator="containsText" text="INVALID MARK">
      <formula>NOT(ISERROR(SEARCH("INVALID MARK",K37)))</formula>
    </cfRule>
    <cfRule type="cellIs" dxfId="122" priority="70" operator="lessThan">
      <formula>$D$12</formula>
    </cfRule>
    <cfRule type="cellIs" priority="71" operator="greaterThanOrEqual">
      <formula>$D$12</formula>
    </cfRule>
    <cfRule type="expression" dxfId="121" priority="72">
      <formula>"&gt;=$D$10"</formula>
    </cfRule>
  </conditionalFormatting>
  <conditionalFormatting sqref="N37">
    <cfRule type="containsText" dxfId="120" priority="64" operator="containsText" text="INVALID MARK">
      <formula>NOT(ISERROR(SEARCH("INVALID MARK",N37)))</formula>
    </cfRule>
    <cfRule type="containsText" dxfId="119" priority="65" operator="containsText" text="INVALID ENTRY">
      <formula>NOT(ISERROR(SEARCH("INVALID ENTRY",N37)))</formula>
    </cfRule>
    <cfRule type="containsText" dxfId="118" priority="66" operator="containsText" text="MISSING MARK">
      <formula>NOT(ISERROR(SEARCH("MISSING MARK",N37)))</formula>
    </cfRule>
  </conditionalFormatting>
  <conditionalFormatting sqref="H37">
    <cfRule type="containsText" dxfId="117" priority="62" operator="containsText" text="FAIL">
      <formula>NOT(ISERROR(SEARCH("FAIL",H37)))</formula>
    </cfRule>
  </conditionalFormatting>
  <conditionalFormatting sqref="I37">
    <cfRule type="containsText" dxfId="116" priority="58" operator="containsText" text="F">
      <formula>NOT(ISERROR(SEARCH("F",I37)))</formula>
    </cfRule>
    <cfRule type="containsText" dxfId="115" priority="59" operator="containsText" text="D">
      <formula>NOT(ISERROR(SEARCH("D",I37)))</formula>
    </cfRule>
    <cfRule type="containsText" dxfId="114" priority="60" operator="containsText" text="C">
      <formula>NOT(ISERROR(SEARCH("C",I37)))</formula>
    </cfRule>
    <cfRule type="containsText" dxfId="113" priority="61" operator="containsText" text="B">
      <formula>NOT(ISERROR(SEARCH("B",I37)))</formula>
    </cfRule>
  </conditionalFormatting>
  <conditionalFormatting sqref="O37">
    <cfRule type="containsText" dxfId="112" priority="55" operator="containsText" text="INVALID MARK">
      <formula>NOT(ISERROR(SEARCH("INVALID MARK",O37)))</formula>
    </cfRule>
    <cfRule type="containsText" dxfId="111" priority="56" operator="containsText" text="INVALID ENTRY">
      <formula>NOT(ISERROR(SEARCH("INVALID ENTRY",O37)))</formula>
    </cfRule>
    <cfRule type="containsText" dxfId="110" priority="57" operator="containsText" text="MISSING MARK">
      <formula>NOT(ISERROR(SEARCH("MISSING MARK",O37)))</formula>
    </cfRule>
  </conditionalFormatting>
  <conditionalFormatting sqref="P37">
    <cfRule type="containsText" dxfId="109" priority="52" operator="containsText" text="INVALID MARK">
      <formula>NOT(ISERROR(SEARCH("INVALID MARK",P37)))</formula>
    </cfRule>
    <cfRule type="containsText" dxfId="108" priority="53" operator="containsText" text="INVALID ENTRY">
      <formula>NOT(ISERROR(SEARCH("INVALID ENTRY",P37)))</formula>
    </cfRule>
    <cfRule type="containsText" dxfId="107" priority="54" operator="containsText" text="MISSING MARK">
      <formula>NOT(ISERROR(SEARCH("MISSING MARK",P37)))</formula>
    </cfRule>
  </conditionalFormatting>
  <conditionalFormatting sqref="Q37">
    <cfRule type="containsText" dxfId="106" priority="49" operator="containsText" text="INVALID MARK">
      <formula>NOT(ISERROR(SEARCH("INVALID MARK",Q37)))</formula>
    </cfRule>
    <cfRule type="containsText" dxfId="105" priority="50" operator="containsText" text="INVALID ENTRY">
      <formula>NOT(ISERROR(SEARCH("INVALID ENTRY",Q37)))</formula>
    </cfRule>
    <cfRule type="containsText" dxfId="104" priority="51" operator="containsText" text="MISSING MARK">
      <formula>NOT(ISERROR(SEARCH("MISSING MARK",Q37)))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Test">
                <anchor moveWithCells="1" sizeWithCells="1">
                  <from>
                    <xdr:col>19</xdr:col>
                    <xdr:colOff>266700</xdr:colOff>
                    <xdr:row>2</xdr:row>
                    <xdr:rowOff>95250</xdr:rowOff>
                  </from>
                  <to>
                    <xdr:col>20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6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31" t="s">
        <v>76</v>
      </c>
      <c r="G4" s="131"/>
      <c r="K4" s="100" t="s">
        <v>73</v>
      </c>
      <c r="L4" s="97" t="s">
        <v>74</v>
      </c>
      <c r="M4" s="97"/>
      <c r="N4" s="97"/>
      <c r="O4" s="98"/>
      <c r="P4" s="98"/>
      <c r="Q4" s="98"/>
      <c r="R4" s="98"/>
      <c r="S4" s="98"/>
      <c r="T4" s="98"/>
      <c r="U4" s="99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4" t="s">
        <v>3</v>
      </c>
      <c r="F5" s="65" t="s">
        <v>1</v>
      </c>
      <c r="G5" s="65" t="s">
        <v>2</v>
      </c>
      <c r="H5" s="87" t="s">
        <v>8</v>
      </c>
      <c r="I5" s="88" t="s">
        <v>0</v>
      </c>
      <c r="J5" s="89" t="s">
        <v>7</v>
      </c>
      <c r="K5" s="90" t="s">
        <v>10</v>
      </c>
      <c r="L5" s="91" t="s">
        <v>56</v>
      </c>
      <c r="M5" s="91" t="s">
        <v>57</v>
      </c>
      <c r="N5" s="91" t="s">
        <v>58</v>
      </c>
      <c r="O5" s="91" t="s">
        <v>59</v>
      </c>
      <c r="P5" s="91" t="s">
        <v>60</v>
      </c>
      <c r="Q5" s="91" t="s">
        <v>61</v>
      </c>
      <c r="R5" s="91" t="s">
        <v>62</v>
      </c>
      <c r="S5" s="91" t="s">
        <v>63</v>
      </c>
      <c r="T5" s="91" t="s">
        <v>64</v>
      </c>
      <c r="U5" s="91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81" t="s">
        <v>5</v>
      </c>
      <c r="E6" s="82"/>
      <c r="F6" s="82"/>
      <c r="G6" s="82"/>
      <c r="H6" s="83">
        <v>1</v>
      </c>
      <c r="I6" s="82">
        <f>K6</f>
        <v>10</v>
      </c>
      <c r="J6" s="84"/>
      <c r="K6" s="85">
        <f t="shared" ref="K6" si="0">SUM(L6:U6)</f>
        <v>10</v>
      </c>
      <c r="L6" s="86">
        <v>10</v>
      </c>
      <c r="M6" s="86"/>
      <c r="N6" s="86"/>
      <c r="O6" s="86"/>
      <c r="P6" s="86"/>
      <c r="Q6" s="86"/>
      <c r="R6" s="86"/>
      <c r="S6" s="86"/>
      <c r="T6" s="86"/>
      <c r="U6" s="86"/>
      <c r="V6" s="35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4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9">
        <v>0</v>
      </c>
      <c r="K7" s="25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4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9">
        <v>0</v>
      </c>
      <c r="K8" s="25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4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9">
        <v>0</v>
      </c>
      <c r="K9" s="25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4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9">
        <v>0</v>
      </c>
      <c r="K10" s="25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4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9">
        <v>0</v>
      </c>
      <c r="K11" s="25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4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9">
        <v>0.05</v>
      </c>
      <c r="K12" s="25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4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9">
        <v>0</v>
      </c>
      <c r="K13" s="25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4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9">
        <v>0</v>
      </c>
      <c r="K14" s="25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4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9">
        <v>0</v>
      </c>
      <c r="K15" s="25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4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9">
        <v>0</v>
      </c>
      <c r="K16" s="25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</sheetData>
  <mergeCells count="1">
    <mergeCell ref="F4:G4"/>
  </mergeCells>
  <conditionalFormatting sqref="I7">
    <cfRule type="containsText" dxfId="103" priority="206" operator="containsText" text="INVALID MARK">
      <formula>NOT(ISERROR(SEARCH("INVALID MARK",I7)))</formula>
    </cfRule>
    <cfRule type="containsText" dxfId="102" priority="207" operator="containsText" text="INVALID ENTRY">
      <formula>NOT(ISERROR(SEARCH("INVALID ENTRY",I7)))</formula>
    </cfRule>
    <cfRule type="containsText" dxfId="101" priority="208" operator="containsText" text="MISSING MARK">
      <formula>NOT(ISERROR(SEARCH("MISSING MARK",I7)))</formula>
    </cfRule>
  </conditionalFormatting>
  <conditionalFormatting sqref="D7">
    <cfRule type="containsText" dxfId="100" priority="36" operator="containsText" text="FAIL">
      <formula>NOT(ISERROR(SEARCH("FAIL",D7)))</formula>
    </cfRule>
    <cfRule type="containsText" dxfId="99" priority="37" operator="containsText" text="PASS">
      <formula>NOT(ISERROR(SEARCH("PASS",D7)))</formula>
    </cfRule>
  </conditionalFormatting>
  <conditionalFormatting sqref="I8:I10">
    <cfRule type="containsText" dxfId="98" priority="23" operator="containsText" text="INVALID MARK">
      <formula>NOT(ISERROR(SEARCH("INVALID MARK",I8)))</formula>
    </cfRule>
    <cfRule type="containsText" dxfId="97" priority="24" operator="containsText" text="INVALID ENTRY">
      <formula>NOT(ISERROR(SEARCH("INVALID ENTRY",I8)))</formula>
    </cfRule>
    <cfRule type="containsText" dxfId="96" priority="25" operator="containsText" text="MISSING MARK">
      <formula>NOT(ISERROR(SEARCH("MISSING MARK",I8)))</formula>
    </cfRule>
  </conditionalFormatting>
  <conditionalFormatting sqref="D8:D10">
    <cfRule type="containsText" dxfId="95" priority="21" operator="containsText" text="FAIL">
      <formula>NOT(ISERROR(SEARCH("FAIL",D8)))</formula>
    </cfRule>
    <cfRule type="containsText" dxfId="94" priority="22" operator="containsText" text="PASS">
      <formula>NOT(ISERROR(SEARCH("PASS",D8)))</formula>
    </cfRule>
  </conditionalFormatting>
  <conditionalFormatting sqref="I11:I15">
    <cfRule type="containsText" dxfId="93" priority="18" operator="containsText" text="INVALID MARK">
      <formula>NOT(ISERROR(SEARCH("INVALID MARK",I11)))</formula>
    </cfRule>
    <cfRule type="containsText" dxfId="92" priority="19" operator="containsText" text="INVALID ENTRY">
      <formula>NOT(ISERROR(SEARCH("INVALID ENTRY",I11)))</formula>
    </cfRule>
    <cfRule type="containsText" dxfId="91" priority="20" operator="containsText" text="MISSING MARK">
      <formula>NOT(ISERROR(SEARCH("MISSING MARK",I11)))</formula>
    </cfRule>
  </conditionalFormatting>
  <conditionalFormatting sqref="D11:D15">
    <cfRule type="containsText" dxfId="90" priority="16" operator="containsText" text="FAIL">
      <formula>NOT(ISERROR(SEARCH("FAIL",D11)))</formula>
    </cfRule>
    <cfRule type="containsText" dxfId="89" priority="17" operator="containsText" text="PASS">
      <formula>NOT(ISERROR(SEARCH("PASS",D11)))</formula>
    </cfRule>
  </conditionalFormatting>
  <conditionalFormatting sqref="I16">
    <cfRule type="containsText" dxfId="88" priority="13" operator="containsText" text="INVALID MARK">
      <formula>NOT(ISERROR(SEARCH("INVALID MARK",I16)))</formula>
    </cfRule>
    <cfRule type="containsText" dxfId="87" priority="14" operator="containsText" text="INVALID ENTRY">
      <formula>NOT(ISERROR(SEARCH("INVALID ENTRY",I16)))</formula>
    </cfRule>
    <cfRule type="containsText" dxfId="86" priority="15" operator="containsText" text="MISSING MARK">
      <formula>NOT(ISERROR(SEARCH("MISSING MARK",I16)))</formula>
    </cfRule>
  </conditionalFormatting>
  <conditionalFormatting sqref="D16">
    <cfRule type="containsText" dxfId="85" priority="11" operator="containsText" text="FAIL">
      <formula>NOT(ISERROR(SEARCH("FAIL",D16)))</formula>
    </cfRule>
    <cfRule type="containsText" dxfId="84" priority="12" operator="containsText" text="PASS">
      <formula>NOT(ISERROR(SEARCH("PASS",D16)))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3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100" t="s">
        <v>73</v>
      </c>
      <c r="L4" s="97" t="s">
        <v>74</v>
      </c>
      <c r="M4" s="97"/>
      <c r="N4" s="97"/>
      <c r="O4" s="98"/>
      <c r="P4" s="98"/>
      <c r="Q4" s="98"/>
      <c r="R4" s="98"/>
      <c r="S4" s="98"/>
      <c r="T4" s="98"/>
      <c r="U4" s="99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4" t="s">
        <v>3</v>
      </c>
      <c r="F5" s="65" t="s">
        <v>1</v>
      </c>
      <c r="G5" s="65" t="s">
        <v>2</v>
      </c>
      <c r="H5" s="87" t="s">
        <v>8</v>
      </c>
      <c r="I5" s="88" t="s">
        <v>0</v>
      </c>
      <c r="J5" s="89" t="s">
        <v>7</v>
      </c>
      <c r="K5" s="90" t="s">
        <v>10</v>
      </c>
      <c r="L5" s="91" t="s">
        <v>56</v>
      </c>
      <c r="M5" s="91" t="s">
        <v>57</v>
      </c>
      <c r="N5" s="91" t="s">
        <v>58</v>
      </c>
      <c r="O5" s="91" t="s">
        <v>59</v>
      </c>
      <c r="P5" s="91" t="s">
        <v>60</v>
      </c>
      <c r="Q5" s="91" t="s">
        <v>61</v>
      </c>
      <c r="R5" s="91" t="s">
        <v>62</v>
      </c>
      <c r="S5" s="91" t="s">
        <v>63</v>
      </c>
      <c r="T5" s="91" t="s">
        <v>64</v>
      </c>
      <c r="U5" s="91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81" t="s">
        <v>5</v>
      </c>
      <c r="E6" s="82"/>
      <c r="F6" s="82"/>
      <c r="G6" s="82"/>
      <c r="H6" s="83">
        <v>1</v>
      </c>
      <c r="I6" s="82">
        <f>K6</f>
        <v>30</v>
      </c>
      <c r="J6" s="84"/>
      <c r="K6" s="85">
        <f t="shared" ref="K6" si="0">SUM(L6:U6)</f>
        <v>30</v>
      </c>
      <c r="L6" s="86">
        <v>10</v>
      </c>
      <c r="M6" s="86">
        <v>15</v>
      </c>
      <c r="N6" s="86">
        <v>5</v>
      </c>
      <c r="O6" s="86"/>
      <c r="P6" s="86"/>
      <c r="Q6" s="86"/>
      <c r="R6" s="86"/>
      <c r="S6" s="86"/>
      <c r="T6" s="86"/>
      <c r="U6" s="86"/>
      <c r="V6" s="35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4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9">
        <v>0</v>
      </c>
      <c r="K7" s="25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4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9">
        <v>0</v>
      </c>
      <c r="K8" s="25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4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9">
        <v>0.05</v>
      </c>
      <c r="K9" s="25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4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9">
        <v>0.05</v>
      </c>
      <c r="K10" s="25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4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9">
        <v>0.05</v>
      </c>
      <c r="K11" s="25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4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9">
        <v>0.05</v>
      </c>
      <c r="K12" s="25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4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9">
        <v>0.05</v>
      </c>
      <c r="K13" s="25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4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9">
        <v>0.05</v>
      </c>
      <c r="K14" s="25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4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9">
        <v>0.05</v>
      </c>
      <c r="K15" s="25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4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9">
        <v>0.05</v>
      </c>
      <c r="K16" s="25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</sheetData>
  <mergeCells count="1">
    <mergeCell ref="F4:G4"/>
  </mergeCells>
  <conditionalFormatting sqref="I7">
    <cfRule type="containsText" dxfId="83" priority="28" operator="containsText" text="INVALID MARK">
      <formula>NOT(ISERROR(SEARCH("INVALID MARK",I7)))</formula>
    </cfRule>
    <cfRule type="containsText" dxfId="82" priority="29" operator="containsText" text="INVALID ENTRY">
      <formula>NOT(ISERROR(SEARCH("INVALID ENTRY",I7)))</formula>
    </cfRule>
    <cfRule type="containsText" dxfId="81" priority="30" operator="containsText" text="MISSING MARK">
      <formula>NOT(ISERROR(SEARCH("MISSING MARK",I7)))</formula>
    </cfRule>
  </conditionalFormatting>
  <conditionalFormatting sqref="D7">
    <cfRule type="containsText" dxfId="80" priority="26" operator="containsText" text="FAIL">
      <formula>NOT(ISERROR(SEARCH("FAIL",D7)))</formula>
    </cfRule>
    <cfRule type="containsText" dxfId="79" priority="27" operator="containsText" text="PASS">
      <formula>NOT(ISERROR(SEARCH("PASS",D7)))</formula>
    </cfRule>
  </conditionalFormatting>
  <conditionalFormatting sqref="I8:I10">
    <cfRule type="containsText" dxfId="78" priority="23" operator="containsText" text="INVALID MARK">
      <formula>NOT(ISERROR(SEARCH("INVALID MARK",I8)))</formula>
    </cfRule>
    <cfRule type="containsText" dxfId="77" priority="24" operator="containsText" text="INVALID ENTRY">
      <formula>NOT(ISERROR(SEARCH("INVALID ENTRY",I8)))</formula>
    </cfRule>
    <cfRule type="containsText" dxfId="76" priority="25" operator="containsText" text="MISSING MARK">
      <formula>NOT(ISERROR(SEARCH("MISSING MARK",I8)))</formula>
    </cfRule>
  </conditionalFormatting>
  <conditionalFormatting sqref="D8:D10">
    <cfRule type="containsText" dxfId="75" priority="21" operator="containsText" text="FAIL">
      <formula>NOT(ISERROR(SEARCH("FAIL",D8)))</formula>
    </cfRule>
    <cfRule type="containsText" dxfId="74" priority="22" operator="containsText" text="PASS">
      <formula>NOT(ISERROR(SEARCH("PASS",D8)))</formula>
    </cfRule>
  </conditionalFormatting>
  <conditionalFormatting sqref="I11:I15">
    <cfRule type="containsText" dxfId="73" priority="18" operator="containsText" text="INVALID MARK">
      <formula>NOT(ISERROR(SEARCH("INVALID MARK",I11)))</formula>
    </cfRule>
    <cfRule type="containsText" dxfId="72" priority="19" operator="containsText" text="INVALID ENTRY">
      <formula>NOT(ISERROR(SEARCH("INVALID ENTRY",I11)))</formula>
    </cfRule>
    <cfRule type="containsText" dxfId="71" priority="20" operator="containsText" text="MISSING MARK">
      <formula>NOT(ISERROR(SEARCH("MISSING MARK",I11)))</formula>
    </cfRule>
  </conditionalFormatting>
  <conditionalFormatting sqref="D11:D15">
    <cfRule type="containsText" dxfId="70" priority="16" operator="containsText" text="FAIL">
      <formula>NOT(ISERROR(SEARCH("FAIL",D11)))</formula>
    </cfRule>
    <cfRule type="containsText" dxfId="69" priority="17" operator="containsText" text="PASS">
      <formula>NOT(ISERROR(SEARCH("PASS",D11)))</formula>
    </cfRule>
  </conditionalFormatting>
  <conditionalFormatting sqref="I16">
    <cfRule type="containsText" dxfId="68" priority="13" operator="containsText" text="INVALID MARK">
      <formula>NOT(ISERROR(SEARCH("INVALID MARK",I16)))</formula>
    </cfRule>
    <cfRule type="containsText" dxfId="67" priority="14" operator="containsText" text="INVALID ENTRY">
      <formula>NOT(ISERROR(SEARCH("INVALID ENTRY",I16)))</formula>
    </cfRule>
    <cfRule type="containsText" dxfId="66" priority="15" operator="containsText" text="MISSING MARK">
      <formula>NOT(ISERROR(SEARCH("MISSING MARK",I16)))</formula>
    </cfRule>
  </conditionalFormatting>
  <conditionalFormatting sqref="D16">
    <cfRule type="containsText" dxfId="65" priority="11" operator="containsText" text="FAIL">
      <formula>NOT(ISERROR(SEARCH("FAIL",D16)))</formula>
    </cfRule>
    <cfRule type="containsText" dxfId="64" priority="12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3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100" t="s">
        <v>73</v>
      </c>
      <c r="L4" s="97" t="s">
        <v>74</v>
      </c>
      <c r="M4" s="97"/>
      <c r="N4" s="97"/>
      <c r="O4" s="98"/>
      <c r="P4" s="98"/>
      <c r="Q4" s="98"/>
      <c r="R4" s="98"/>
      <c r="S4" s="98"/>
      <c r="T4" s="98"/>
      <c r="U4" s="99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4" t="s">
        <v>3</v>
      </c>
      <c r="F5" s="65" t="s">
        <v>1</v>
      </c>
      <c r="G5" s="65" t="s">
        <v>2</v>
      </c>
      <c r="H5" s="87" t="s">
        <v>8</v>
      </c>
      <c r="I5" s="88" t="s">
        <v>0</v>
      </c>
      <c r="J5" s="89" t="s">
        <v>7</v>
      </c>
      <c r="K5" s="90" t="s">
        <v>10</v>
      </c>
      <c r="L5" s="91" t="s">
        <v>56</v>
      </c>
      <c r="M5" s="91" t="s">
        <v>57</v>
      </c>
      <c r="N5" s="91" t="s">
        <v>58</v>
      </c>
      <c r="O5" s="91" t="s">
        <v>59</v>
      </c>
      <c r="P5" s="91" t="s">
        <v>60</v>
      </c>
      <c r="Q5" s="91" t="s">
        <v>61</v>
      </c>
      <c r="R5" s="91" t="s">
        <v>62</v>
      </c>
      <c r="S5" s="91" t="s">
        <v>63</v>
      </c>
      <c r="T5" s="91" t="s">
        <v>64</v>
      </c>
      <c r="U5" s="91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81" t="s">
        <v>5</v>
      </c>
      <c r="E6" s="82"/>
      <c r="F6" s="82"/>
      <c r="G6" s="82"/>
      <c r="H6" s="83">
        <v>1</v>
      </c>
      <c r="I6" s="82">
        <f>K6</f>
        <v>20</v>
      </c>
      <c r="J6" s="84"/>
      <c r="K6" s="85">
        <f t="shared" ref="K6" si="0">SUM(L6:U6)</f>
        <v>20</v>
      </c>
      <c r="L6" s="86">
        <v>10</v>
      </c>
      <c r="M6" s="86">
        <v>5</v>
      </c>
      <c r="N6" s="86">
        <v>3</v>
      </c>
      <c r="O6" s="86">
        <v>2</v>
      </c>
      <c r="P6" s="86"/>
      <c r="Q6" s="86"/>
      <c r="R6" s="86"/>
      <c r="S6" s="86"/>
      <c r="T6" s="86"/>
      <c r="U6" s="86"/>
      <c r="V6" s="35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4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9">
        <v>0</v>
      </c>
      <c r="K7" s="25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4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9">
        <v>0</v>
      </c>
      <c r="K8" s="25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4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9">
        <v>0</v>
      </c>
      <c r="K9" s="25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4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9">
        <v>0</v>
      </c>
      <c r="K10" s="25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4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9">
        <v>0</v>
      </c>
      <c r="K11" s="25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4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9">
        <v>0</v>
      </c>
      <c r="K12" s="25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4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9">
        <v>0</v>
      </c>
      <c r="K13" s="25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4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9">
        <v>0</v>
      </c>
      <c r="K14" s="25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4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9">
        <v>0</v>
      </c>
      <c r="K15" s="25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4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9">
        <v>0</v>
      </c>
      <c r="K16" s="25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</sheetData>
  <mergeCells count="1">
    <mergeCell ref="F4:G4"/>
  </mergeCells>
  <conditionalFormatting sqref="I7">
    <cfRule type="containsText" dxfId="63" priority="28" operator="containsText" text="INVALID MARK">
      <formula>NOT(ISERROR(SEARCH("INVALID MARK",I7)))</formula>
    </cfRule>
    <cfRule type="containsText" dxfId="62" priority="29" operator="containsText" text="INVALID ENTRY">
      <formula>NOT(ISERROR(SEARCH("INVALID ENTRY",I7)))</formula>
    </cfRule>
    <cfRule type="containsText" dxfId="61" priority="30" operator="containsText" text="MISSING MARK">
      <formula>NOT(ISERROR(SEARCH("MISSING MARK",I7)))</formula>
    </cfRule>
  </conditionalFormatting>
  <conditionalFormatting sqref="D7">
    <cfRule type="containsText" dxfId="60" priority="26" operator="containsText" text="FAIL">
      <formula>NOT(ISERROR(SEARCH("FAIL",D7)))</formula>
    </cfRule>
    <cfRule type="containsText" dxfId="59" priority="27" operator="containsText" text="PASS">
      <formula>NOT(ISERROR(SEARCH("PASS",D7)))</formula>
    </cfRule>
  </conditionalFormatting>
  <conditionalFormatting sqref="I8:I10">
    <cfRule type="containsText" dxfId="58" priority="23" operator="containsText" text="INVALID MARK">
      <formula>NOT(ISERROR(SEARCH("INVALID MARK",I8)))</formula>
    </cfRule>
    <cfRule type="containsText" dxfId="57" priority="24" operator="containsText" text="INVALID ENTRY">
      <formula>NOT(ISERROR(SEARCH("INVALID ENTRY",I8)))</formula>
    </cfRule>
    <cfRule type="containsText" dxfId="56" priority="25" operator="containsText" text="MISSING MARK">
      <formula>NOT(ISERROR(SEARCH("MISSING MARK",I8)))</formula>
    </cfRule>
  </conditionalFormatting>
  <conditionalFormatting sqref="D8:D10">
    <cfRule type="containsText" dxfId="55" priority="21" operator="containsText" text="FAIL">
      <formula>NOT(ISERROR(SEARCH("FAIL",D8)))</formula>
    </cfRule>
    <cfRule type="containsText" dxfId="54" priority="22" operator="containsText" text="PASS">
      <formula>NOT(ISERROR(SEARCH("PASS",D8)))</formula>
    </cfRule>
  </conditionalFormatting>
  <conditionalFormatting sqref="I11:I15">
    <cfRule type="containsText" dxfId="53" priority="18" operator="containsText" text="INVALID MARK">
      <formula>NOT(ISERROR(SEARCH("INVALID MARK",I11)))</formula>
    </cfRule>
    <cfRule type="containsText" dxfId="52" priority="19" operator="containsText" text="INVALID ENTRY">
      <formula>NOT(ISERROR(SEARCH("INVALID ENTRY",I11)))</formula>
    </cfRule>
    <cfRule type="containsText" dxfId="51" priority="20" operator="containsText" text="MISSING MARK">
      <formula>NOT(ISERROR(SEARCH("MISSING MARK",I11)))</formula>
    </cfRule>
  </conditionalFormatting>
  <conditionalFormatting sqref="D11:D15">
    <cfRule type="containsText" dxfId="50" priority="16" operator="containsText" text="FAIL">
      <formula>NOT(ISERROR(SEARCH("FAIL",D11)))</formula>
    </cfRule>
    <cfRule type="containsText" dxfId="49" priority="17" operator="containsText" text="PASS">
      <formula>NOT(ISERROR(SEARCH("PASS",D11)))</formula>
    </cfRule>
  </conditionalFormatting>
  <conditionalFormatting sqref="I16">
    <cfRule type="containsText" dxfId="48" priority="13" operator="containsText" text="INVALID MARK">
      <formula>NOT(ISERROR(SEARCH("INVALID MARK",I16)))</formula>
    </cfRule>
    <cfRule type="containsText" dxfId="47" priority="14" operator="containsText" text="INVALID ENTRY">
      <formula>NOT(ISERROR(SEARCH("INVALID ENTRY",I16)))</formula>
    </cfRule>
    <cfRule type="containsText" dxfId="46" priority="15" operator="containsText" text="MISSING MARK">
      <formula>NOT(ISERROR(SEARCH("MISSING MARK",I16)))</formula>
    </cfRule>
  </conditionalFormatting>
  <conditionalFormatting sqref="D16">
    <cfRule type="containsText" dxfId="45" priority="11" operator="containsText" text="FAIL">
      <formula>NOT(ISERROR(SEARCH("FAIL",D16)))</formula>
    </cfRule>
    <cfRule type="containsText" dxfId="44" priority="12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434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100" t="s">
        <v>73</v>
      </c>
      <c r="L4" s="97" t="s">
        <v>74</v>
      </c>
      <c r="M4" s="97"/>
      <c r="N4" s="97"/>
      <c r="O4" s="98"/>
      <c r="P4" s="98"/>
      <c r="Q4" s="98"/>
      <c r="R4" s="98"/>
      <c r="S4" s="98"/>
      <c r="T4" s="98"/>
      <c r="U4" s="99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4" t="s">
        <v>3</v>
      </c>
      <c r="F5" s="65" t="s">
        <v>1</v>
      </c>
      <c r="G5" s="65" t="s">
        <v>2</v>
      </c>
      <c r="H5" s="87" t="s">
        <v>8</v>
      </c>
      <c r="I5" s="88" t="s">
        <v>0</v>
      </c>
      <c r="J5" s="89" t="s">
        <v>7</v>
      </c>
      <c r="K5" s="90" t="s">
        <v>10</v>
      </c>
      <c r="L5" s="91" t="s">
        <v>56</v>
      </c>
      <c r="M5" s="91" t="s">
        <v>57</v>
      </c>
      <c r="N5" s="91" t="s">
        <v>58</v>
      </c>
      <c r="O5" s="91" t="s">
        <v>59</v>
      </c>
      <c r="P5" s="91" t="s">
        <v>60</v>
      </c>
      <c r="Q5" s="91" t="s">
        <v>61</v>
      </c>
      <c r="R5" s="91" t="s">
        <v>62</v>
      </c>
      <c r="S5" s="91" t="s">
        <v>63</v>
      </c>
      <c r="T5" s="91" t="s">
        <v>64</v>
      </c>
      <c r="U5" s="91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81" t="s">
        <v>5</v>
      </c>
      <c r="E6" s="82"/>
      <c r="F6" s="82"/>
      <c r="G6" s="82"/>
      <c r="H6" s="83">
        <v>1</v>
      </c>
      <c r="I6" s="82">
        <f>K6</f>
        <v>50</v>
      </c>
      <c r="J6" s="84"/>
      <c r="K6" s="85">
        <f t="shared" ref="K6" si="0">SUM(L6:U6)</f>
        <v>50</v>
      </c>
      <c r="L6" s="86">
        <v>50</v>
      </c>
      <c r="M6" s="86"/>
      <c r="N6" s="86"/>
      <c r="O6" s="86"/>
      <c r="P6" s="86"/>
      <c r="Q6" s="86"/>
      <c r="R6" s="86"/>
      <c r="S6" s="86"/>
      <c r="T6" s="86"/>
      <c r="U6" s="86"/>
      <c r="V6" s="35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4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9">
        <v>0</v>
      </c>
      <c r="K7" s="25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4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9">
        <v>0</v>
      </c>
      <c r="K8" s="25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4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9">
        <v>0</v>
      </c>
      <c r="K9" s="25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4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9">
        <v>0</v>
      </c>
      <c r="K10" s="25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4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9">
        <v>0</v>
      </c>
      <c r="K11" s="25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4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9">
        <v>0</v>
      </c>
      <c r="K12" s="25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4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9">
        <v>0</v>
      </c>
      <c r="K13" s="25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4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9">
        <v>0.1</v>
      </c>
      <c r="K14" s="25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4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9">
        <v>0</v>
      </c>
      <c r="K15" s="25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4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9">
        <v>0</v>
      </c>
      <c r="K16" s="25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5"/>
      <c r="E17" s="5"/>
      <c r="F17" s="5"/>
      <c r="G17" s="5"/>
      <c r="H17" s="4"/>
      <c r="I17" s="19"/>
      <c r="J17" s="8"/>
      <c r="K17" s="17"/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</sheetData>
  <mergeCells count="1">
    <mergeCell ref="F4:G4"/>
  </mergeCells>
  <conditionalFormatting sqref="I7">
    <cfRule type="containsText" dxfId="43" priority="28" operator="containsText" text="INVALID MARK">
      <formula>NOT(ISERROR(SEARCH("INVALID MARK",I7)))</formula>
    </cfRule>
    <cfRule type="containsText" dxfId="42" priority="29" operator="containsText" text="INVALID ENTRY">
      <formula>NOT(ISERROR(SEARCH("INVALID ENTRY",I7)))</formula>
    </cfRule>
    <cfRule type="containsText" dxfId="41" priority="30" operator="containsText" text="MISSING MARK">
      <formula>NOT(ISERROR(SEARCH("MISSING MARK",I7)))</formula>
    </cfRule>
  </conditionalFormatting>
  <conditionalFormatting sqref="D7">
    <cfRule type="containsText" dxfId="40" priority="26" operator="containsText" text="FAIL">
      <formula>NOT(ISERROR(SEARCH("FAIL",D7)))</formula>
    </cfRule>
    <cfRule type="containsText" dxfId="39" priority="27" operator="containsText" text="PASS">
      <formula>NOT(ISERROR(SEARCH("PASS",D7)))</formula>
    </cfRule>
  </conditionalFormatting>
  <conditionalFormatting sqref="I8:I10">
    <cfRule type="containsText" dxfId="38" priority="23" operator="containsText" text="INVALID MARK">
      <formula>NOT(ISERROR(SEARCH("INVALID MARK",I8)))</formula>
    </cfRule>
    <cfRule type="containsText" dxfId="37" priority="24" operator="containsText" text="INVALID ENTRY">
      <formula>NOT(ISERROR(SEARCH("INVALID ENTRY",I8)))</formula>
    </cfRule>
    <cfRule type="containsText" dxfId="36" priority="25" operator="containsText" text="MISSING MARK">
      <formula>NOT(ISERROR(SEARCH("MISSING MARK",I8)))</formula>
    </cfRule>
  </conditionalFormatting>
  <conditionalFormatting sqref="D8:D10">
    <cfRule type="containsText" dxfId="35" priority="21" operator="containsText" text="FAIL">
      <formula>NOT(ISERROR(SEARCH("FAIL",D8)))</formula>
    </cfRule>
    <cfRule type="containsText" dxfId="34" priority="22" operator="containsText" text="PASS">
      <formula>NOT(ISERROR(SEARCH("PASS",D8)))</formula>
    </cfRule>
  </conditionalFormatting>
  <conditionalFormatting sqref="I11:I15">
    <cfRule type="containsText" dxfId="33" priority="18" operator="containsText" text="INVALID MARK">
      <formula>NOT(ISERROR(SEARCH("INVALID MARK",I11)))</formula>
    </cfRule>
    <cfRule type="containsText" dxfId="32" priority="19" operator="containsText" text="INVALID ENTRY">
      <formula>NOT(ISERROR(SEARCH("INVALID ENTRY",I11)))</formula>
    </cfRule>
    <cfRule type="containsText" dxfId="31" priority="20" operator="containsText" text="MISSING MARK">
      <formula>NOT(ISERROR(SEARCH("MISSING MARK",I11)))</formula>
    </cfRule>
  </conditionalFormatting>
  <conditionalFormatting sqref="D11:D15">
    <cfRule type="containsText" dxfId="30" priority="16" operator="containsText" text="FAIL">
      <formula>NOT(ISERROR(SEARCH("FAIL",D11)))</formula>
    </cfRule>
    <cfRule type="containsText" dxfId="29" priority="17" operator="containsText" text="PASS">
      <formula>NOT(ISERROR(SEARCH("PASS",D11)))</formula>
    </cfRule>
  </conditionalFormatting>
  <conditionalFormatting sqref="I16">
    <cfRule type="containsText" dxfId="28" priority="13" operator="containsText" text="INVALID MARK">
      <formula>NOT(ISERROR(SEARCH("INVALID MARK",I16)))</formula>
    </cfRule>
    <cfRule type="containsText" dxfId="27" priority="14" operator="containsText" text="INVALID ENTRY">
      <formula>NOT(ISERROR(SEARCH("INVALID ENTRY",I16)))</formula>
    </cfRule>
    <cfRule type="containsText" dxfId="26" priority="15" operator="containsText" text="MISSING MARK">
      <formula>NOT(ISERROR(SEARCH("MISSING MARK",I16)))</formula>
    </cfRule>
  </conditionalFormatting>
  <conditionalFormatting sqref="D16">
    <cfRule type="containsText" dxfId="25" priority="11" operator="containsText" text="FAIL">
      <formula>NOT(ISERROR(SEARCH("FAIL",D16)))</formula>
    </cfRule>
    <cfRule type="containsText" dxfId="24" priority="12" operator="containsText" text="PASS">
      <formula>NOT(ISERROR(SEARCH("PASS",D16)))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6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31"/>
      <c r="G4" s="131"/>
      <c r="H4" s="4"/>
      <c r="I4" s="19"/>
      <c r="J4" s="8"/>
      <c r="K4" s="100" t="s">
        <v>73</v>
      </c>
      <c r="L4" s="97" t="s">
        <v>74</v>
      </c>
      <c r="M4" s="97"/>
      <c r="N4" s="97"/>
      <c r="O4" s="98"/>
      <c r="P4" s="98"/>
      <c r="Q4" s="98"/>
      <c r="R4" s="98"/>
      <c r="S4" s="98"/>
      <c r="T4" s="98"/>
      <c r="U4" s="99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4" t="str">
        <f>'Final Marks'!$D$25</f>
        <v>Student Surname</v>
      </c>
      <c r="F5" s="65" t="str">
        <f>'Final Marks'!$E$25</f>
        <v>Student Name</v>
      </c>
      <c r="G5" s="65" t="str">
        <f>'Final Marks'!$F$25</f>
        <v>Student Number</v>
      </c>
      <c r="H5" s="87" t="s">
        <v>8</v>
      </c>
      <c r="I5" s="88" t="s">
        <v>0</v>
      </c>
      <c r="J5" s="89" t="s">
        <v>7</v>
      </c>
      <c r="K5" s="88" t="s">
        <v>10</v>
      </c>
      <c r="L5" s="92" t="s">
        <v>56</v>
      </c>
      <c r="M5" s="92" t="s">
        <v>57</v>
      </c>
      <c r="N5" s="92" t="s">
        <v>58</v>
      </c>
      <c r="O5" s="92" t="s">
        <v>59</v>
      </c>
      <c r="P5" s="92" t="s">
        <v>60</v>
      </c>
      <c r="Q5" s="92" t="s">
        <v>61</v>
      </c>
      <c r="R5" s="92" t="s">
        <v>62</v>
      </c>
      <c r="S5" s="92" t="s">
        <v>63</v>
      </c>
      <c r="T5" s="92" t="s">
        <v>64</v>
      </c>
      <c r="U5" s="92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81" t="s">
        <v>5</v>
      </c>
      <c r="E6" s="82"/>
      <c r="F6" s="82"/>
      <c r="G6" s="82"/>
      <c r="H6" s="83">
        <v>1</v>
      </c>
      <c r="I6" s="82">
        <f>K6</f>
        <v>100</v>
      </c>
      <c r="J6" s="84"/>
      <c r="K6" s="85">
        <f t="shared" ref="K6" si="0">SUM(L6:O6)</f>
        <v>100</v>
      </c>
      <c r="L6" s="86">
        <v>100</v>
      </c>
      <c r="M6" s="86"/>
      <c r="N6" s="86"/>
      <c r="O6" s="86"/>
      <c r="P6" s="86"/>
      <c r="Q6" s="86"/>
      <c r="R6" s="86"/>
      <c r="S6" s="86"/>
      <c r="T6" s="86"/>
      <c r="U6" s="86"/>
      <c r="V6" s="35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4">
        <f>IF(ISOVERMAX(L7:U7),"INVALID MARK", IF(K7/K$6-J7&gt;=0, K7/K$6-J7, 0))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9">
        <v>0</v>
      </c>
      <c r="K7" s="25">
        <f t="shared" ref="K7" si="1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4">
        <f>IF(ISOVERMAX(L8:U8),"INVALID MARK", IF(K8/K$6-J8&gt;=0, K8/K$6-J8, 0))</f>
        <v>0.87</v>
      </c>
      <c r="I8" s="20">
        <f>IF(ISOVERMAX(L8:U8),"INVALID MARK", IF(COUNT(L8:U8)=COUNT(L$6:U$6), IFERROR(H8*K$6,), IF(COUNT(L8:U8)&lt;COUNT(L$6:U$6),"MISSING MARK","INVALID ENTRY")))</f>
        <v>87</v>
      </c>
      <c r="J8" s="29">
        <v>0</v>
      </c>
      <c r="K8" s="25">
        <f t="shared" ref="K8:K10" si="3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4">
        <f>IF(ISOVERMAX(L9:U9),"INVALID MARK", IF(K9/K$6-J9&gt;=0, K9/K$6-J9, 0))</f>
        <v>0.45</v>
      </c>
      <c r="I9" s="20">
        <f>IF(ISOVERMAX(L9:U9),"INVALID MARK", IF(COUNT(L9:U9)=COUNT(L$6:U$6), IFERROR(H9*K$6,), IF(COUNT(L9:U9)&lt;COUNT(L$6:U$6),"MISSING MARK","INVALID ENTRY")))</f>
        <v>45</v>
      </c>
      <c r="J9" s="29">
        <v>0</v>
      </c>
      <c r="K9" s="25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4">
        <f>IF(ISOVERMAX(L10:U10),"INVALID MARK", IF(K10/K$6-J10&gt;=0, K10/K$6-J10, 0))</f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9">
        <v>0</v>
      </c>
      <c r="K10" s="25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4">
        <f>IF(ISOVERMAX(L11:U11),"INVALID MARK", IF(K11/K$6-J11&gt;=0, K11/K$6-J11, 0))</f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9">
        <v>0</v>
      </c>
      <c r="K11" s="25">
        <f t="shared" ref="K11:K15" si="5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4">
        <f>IF(ISOVERMAX(L12:U12),"INVALID MARK", IF(K12/K$6-J12&gt;=0, K12/K$6-J12, 0))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9">
        <v>0</v>
      </c>
      <c r="K12" s="25">
        <f t="shared" si="5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4">
        <f>IF(ISOVERMAX(L13:U13),"INVALID MARK", IF(K13/K$6-J13&gt;=0, K13/K$6-J13, 0))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9">
        <v>0</v>
      </c>
      <c r="K13" s="25">
        <f t="shared" si="5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4">
        <f>IF(ISOVERMAX(L14:U14),"INVALID MARK", IF(K14/K$6-J14&gt;=0, K14/K$6-J14, 0))</f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9">
        <v>0</v>
      </c>
      <c r="K14" s="25">
        <f t="shared" si="5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4">
        <f>IF(ISOVERMAX(L15:U15),"INVALID MARK", IF(K15/K$6-J15&gt;=0, K15/K$6-J15, 0))</f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9">
        <v>0</v>
      </c>
      <c r="K15" s="25">
        <f t="shared" si="5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4">
        <f>IF(ISOVERMAX(L16:U16),"INVALID MARK", IF(K16/K$6-J16&gt;=0, K16/K$6-J16, 0))</f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9">
        <v>0</v>
      </c>
      <c r="K16" s="25">
        <f t="shared" ref="K16" si="7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</sheetData>
  <mergeCells count="1">
    <mergeCell ref="F4:G4"/>
  </mergeCells>
  <conditionalFormatting sqref="I7">
    <cfRule type="containsText" dxfId="23" priority="270" operator="containsText" text="INVALID MARK">
      <formula>NOT(ISERROR(SEARCH("INVALID MARK",I7)))</formula>
    </cfRule>
    <cfRule type="containsText" dxfId="22" priority="271" operator="containsText" text="INVALID ENTRY">
      <formula>NOT(ISERROR(SEARCH("INVALID ENTRY",I7)))</formula>
    </cfRule>
    <cfRule type="containsText" dxfId="21" priority="272" operator="containsText" text="MISSING MARK">
      <formula>NOT(ISERROR(SEARCH("MISSING MARK",I7)))</formula>
    </cfRule>
  </conditionalFormatting>
  <conditionalFormatting sqref="H7">
    <cfRule type="containsText" dxfId="20" priority="269" operator="containsText" text="INVALID MARK">
      <formula>NOT(ISERROR(SEARCH("INVALID MARK",H7)))</formula>
    </cfRule>
  </conditionalFormatting>
  <conditionalFormatting sqref="D7">
    <cfRule type="containsText" dxfId="19" priority="43" operator="containsText" text="FAIL">
      <formula>NOT(ISERROR(SEARCH("FAIL",D7)))</formula>
    </cfRule>
    <cfRule type="containsText" dxfId="18" priority="44" operator="containsText" text="PASS">
      <formula>NOT(ISERROR(SEARCH("PASS",D7)))</formula>
    </cfRule>
  </conditionalFormatting>
  <conditionalFormatting sqref="I8:I10">
    <cfRule type="containsText" dxfId="17" priority="28" operator="containsText" text="INVALID MARK">
      <formula>NOT(ISERROR(SEARCH("INVALID MARK",I8)))</formula>
    </cfRule>
    <cfRule type="containsText" dxfId="16" priority="29" operator="containsText" text="INVALID ENTRY">
      <formula>NOT(ISERROR(SEARCH("INVALID ENTRY",I8)))</formula>
    </cfRule>
    <cfRule type="containsText" dxfId="15" priority="30" operator="containsText" text="MISSING MARK">
      <formula>NOT(ISERROR(SEARCH("MISSING MARK",I8)))</formula>
    </cfRule>
  </conditionalFormatting>
  <conditionalFormatting sqref="H8:H10">
    <cfRule type="containsText" dxfId="14" priority="27" operator="containsText" text="INVALID MARK">
      <formula>NOT(ISERROR(SEARCH("INVALID MARK",H8)))</formula>
    </cfRule>
  </conditionalFormatting>
  <conditionalFormatting sqref="D8:D10">
    <cfRule type="containsText" dxfId="13" priority="25" operator="containsText" text="FAIL">
      <formula>NOT(ISERROR(SEARCH("FAIL",D8)))</formula>
    </cfRule>
    <cfRule type="containsText" dxfId="12" priority="26" operator="containsText" text="PASS">
      <formula>NOT(ISERROR(SEARCH("PASS",D8)))</formula>
    </cfRule>
  </conditionalFormatting>
  <conditionalFormatting sqref="I11:I15">
    <cfRule type="containsText" dxfId="11" priority="22" operator="containsText" text="INVALID MARK">
      <formula>NOT(ISERROR(SEARCH("INVALID MARK",I11)))</formula>
    </cfRule>
    <cfRule type="containsText" dxfId="10" priority="23" operator="containsText" text="INVALID ENTRY">
      <formula>NOT(ISERROR(SEARCH("INVALID ENTRY",I11)))</formula>
    </cfRule>
    <cfRule type="containsText" dxfId="9" priority="24" operator="containsText" text="MISSING MARK">
      <formula>NOT(ISERROR(SEARCH("MISSING MARK",I11)))</formula>
    </cfRule>
  </conditionalFormatting>
  <conditionalFormatting sqref="H11:H15">
    <cfRule type="containsText" dxfId="8" priority="21" operator="containsText" text="INVALID MARK">
      <formula>NOT(ISERROR(SEARCH("INVALID MARK",H11)))</formula>
    </cfRule>
  </conditionalFormatting>
  <conditionalFormatting sqref="D11:D15">
    <cfRule type="containsText" dxfId="7" priority="19" operator="containsText" text="FAIL">
      <formula>NOT(ISERROR(SEARCH("FAIL",D11)))</formula>
    </cfRule>
    <cfRule type="containsText" dxfId="6" priority="20" operator="containsText" text="PASS">
      <formula>NOT(ISERROR(SEARCH("PASS",D11)))</formula>
    </cfRule>
  </conditionalFormatting>
  <conditionalFormatting sqref="I16">
    <cfRule type="containsText" dxfId="5" priority="16" operator="containsText" text="INVALID MARK">
      <formula>NOT(ISERROR(SEARCH("INVALID MARK",I16)))</formula>
    </cfRule>
    <cfRule type="containsText" dxfId="4" priority="17" operator="containsText" text="INVALID ENTRY">
      <formula>NOT(ISERROR(SEARCH("INVALID ENTRY",I16)))</formula>
    </cfRule>
    <cfRule type="containsText" dxfId="3" priority="18" operator="containsText" text="MISSING MARK">
      <formula>NOT(ISERROR(SEARCH("MISSING MARK",I16)))</formula>
    </cfRule>
  </conditionalFormatting>
  <conditionalFormatting sqref="H16">
    <cfRule type="containsText" dxfId="2" priority="15" operator="containsText" text="INVALID MARK">
      <formula>NOT(ISERROR(SEARCH("INVALID MARK",H16)))</formula>
    </cfRule>
  </conditionalFormatting>
  <conditionalFormatting sqref="D16">
    <cfRule type="containsText" dxfId="1" priority="13" operator="containsText" text="FAIL">
      <formula>NOT(ISERROR(SEARCH("FAIL",D16)))</formula>
    </cfRule>
    <cfRule type="containsText" dxfId="0" priority="14" operator="containsText" text="PASS">
      <formula>NOT(ISERROR(SEARCH("PASS",D16)))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2020-09-16T09:50:31Z</dcterms:modified>
</cp:coreProperties>
</file>