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ront page - Marks Overview" sheetId="1" r:id="rId1"/>
    <sheet name="Test 1" sheetId="54" r:id="rId2"/>
    <sheet name="Test 2" sheetId="55" r:id="rId3"/>
    <sheet name="Oral Assignment 1" sheetId="56" r:id="rId4"/>
    <sheet name="Test 4" sheetId="58" r:id="rId5"/>
    <sheet name="Exam" sheetId="52" r:id="rId6"/>
  </sheets>
  <functionGroups builtInGroupCount="18"/>
  <definedNames>
    <definedName name="_xlnm._FilterDatabase" localSheetId="0" hidden="1">'Front page - Marks Overview'!$D$27:$N$27</definedName>
  </definedNames>
  <calcPr calcId="152511"/>
</workbook>
</file>

<file path=xl/calcChain.xml><?xml version="1.0" encoding="utf-8"?>
<calcChain xmlns="http://schemas.openxmlformats.org/spreadsheetml/2006/main">
  <c r="I17" i="56" l="1"/>
  <c r="I28" i="1"/>
  <c r="I30" i="1"/>
  <c r="I31" i="1"/>
  <c r="I33" i="1"/>
  <c r="I34" i="1"/>
  <c r="I35" i="1"/>
  <c r="I36" i="1"/>
  <c r="I29" i="1"/>
  <c r="I37" i="1"/>
  <c r="I32" i="1"/>
  <c r="I7" i="52"/>
  <c r="I15" i="52"/>
  <c r="I16" i="52"/>
  <c r="I11" i="52"/>
  <c r="I12" i="52"/>
  <c r="I13" i="52"/>
  <c r="I14" i="52"/>
  <c r="I8" i="52"/>
  <c r="I9" i="52"/>
  <c r="I10" i="52"/>
  <c r="I7" i="58"/>
  <c r="I15" i="58"/>
  <c r="I13" i="58"/>
  <c r="I8" i="58"/>
  <c r="I16" i="58"/>
  <c r="I14" i="58"/>
  <c r="I9" i="58"/>
  <c r="I12" i="58"/>
  <c r="I10" i="58"/>
  <c r="I11" i="58"/>
  <c r="I9" i="56"/>
  <c r="I10" i="56"/>
  <c r="I11" i="56"/>
  <c r="I13" i="56"/>
  <c r="I14" i="56"/>
  <c r="I7" i="56"/>
  <c r="I15" i="56"/>
  <c r="I8" i="56"/>
  <c r="I16" i="56"/>
  <c r="I12" i="56"/>
  <c r="I8" i="55"/>
  <c r="I16" i="55"/>
  <c r="I14" i="55"/>
  <c r="I9" i="55"/>
  <c r="I13" i="55"/>
  <c r="I15" i="55"/>
  <c r="I10" i="55"/>
  <c r="I12" i="55"/>
  <c r="I7" i="55"/>
  <c r="I11" i="55"/>
  <c r="I9" i="54"/>
  <c r="I10" i="54"/>
  <c r="I11" i="54"/>
  <c r="I12" i="54"/>
  <c r="I13" i="54"/>
  <c r="I14" i="54"/>
  <c r="I15" i="54"/>
  <c r="I8" i="54"/>
  <c r="I16" i="54"/>
  <c r="I7" i="54"/>
  <c r="I38" i="1"/>
  <c r="M6" i="1" l="1"/>
  <c r="M4" i="1"/>
  <c r="M5" i="1"/>
  <c r="M7" i="1"/>
  <c r="M12" i="1"/>
  <c r="M8" i="1"/>
  <c r="M10" i="1"/>
  <c r="M9" i="1"/>
  <c r="M11" i="1"/>
  <c r="M13" i="1"/>
  <c r="K8" i="52"/>
  <c r="K9" i="52"/>
  <c r="K10" i="52"/>
  <c r="K11" i="52"/>
  <c r="K12" i="52"/>
  <c r="K13" i="52"/>
  <c r="K14" i="52"/>
  <c r="K15" i="52"/>
  <c r="K16" i="52"/>
  <c r="K17" i="52"/>
  <c r="K7" i="52"/>
  <c r="G17" i="52" l="1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H17" i="55" l="1"/>
  <c r="H14" i="58"/>
  <c r="H17" i="58"/>
  <c r="H15" i="56"/>
  <c r="D15" i="56" s="1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D17" i="56" l="1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D14" i="54" l="1"/>
  <c r="D16" i="54"/>
  <c r="D17" i="54"/>
  <c r="D7" i="54"/>
  <c r="D15" i="54"/>
  <c r="D13" i="54"/>
  <c r="D12" i="54"/>
  <c r="D11" i="54"/>
  <c r="D10" i="54"/>
  <c r="D8" i="54"/>
  <c r="D9" i="54"/>
  <c r="K6" i="52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K31" i="1" l="1"/>
  <c r="K33" i="1"/>
  <c r="K32" i="1"/>
  <c r="K29" i="1"/>
  <c r="K30" i="1"/>
  <c r="D11" i="52"/>
  <c r="D9" i="52"/>
  <c r="K34" i="1"/>
  <c r="K28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31" i="1"/>
  <c r="N32" i="1"/>
  <c r="N33" i="1"/>
  <c r="N34" i="1"/>
  <c r="N29" i="1"/>
  <c r="N30" i="1"/>
  <c r="N28" i="1"/>
  <c r="M33" i="1" l="1"/>
  <c r="M31" i="1"/>
  <c r="M32" i="1"/>
  <c r="M28" i="1"/>
  <c r="M30" i="1"/>
  <c r="M29" i="1"/>
  <c r="M34" i="1"/>
  <c r="N26" i="1"/>
  <c r="P26" i="1"/>
  <c r="L32" i="1" l="1"/>
  <c r="J32" i="1" s="1"/>
  <c r="L29" i="1"/>
  <c r="J29" i="1" s="1"/>
  <c r="L31" i="1"/>
  <c r="J31" i="1" s="1"/>
  <c r="L33" i="1"/>
  <c r="J33" i="1" s="1"/>
  <c r="L34" i="1"/>
  <c r="J34" i="1" s="1"/>
  <c r="L30" i="1"/>
  <c r="J30" i="1" s="1"/>
  <c r="L28" i="1"/>
  <c r="J28" i="1" s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P36" i="1"/>
  <c r="O35" i="1"/>
  <c r="P37" i="1"/>
  <c r="Q35" i="1"/>
  <c r="O37" i="1"/>
  <c r="N37" i="1"/>
  <c r="Q37" i="1"/>
  <c r="Q36" i="1"/>
  <c r="O36" i="1"/>
  <c r="N35" i="1"/>
  <c r="M37" i="1" l="1"/>
  <c r="L37" i="1" s="1"/>
  <c r="P35" i="1"/>
  <c r="M35" i="1" s="1"/>
  <c r="N36" i="1"/>
  <c r="M36" i="1" s="1"/>
  <c r="I17" i="58"/>
  <c r="L36" i="1" l="1"/>
  <c r="L35" i="1"/>
  <c r="Q38" i="1"/>
  <c r="P38" i="1"/>
  <c r="I17" i="55"/>
  <c r="O38" i="1"/>
  <c r="I17" i="54"/>
  <c r="N38" i="1"/>
  <c r="M38" i="1" s="1"/>
  <c r="K37" i="1"/>
  <c r="L38" i="1" l="1"/>
  <c r="J37" i="1"/>
  <c r="G37" i="1" s="1"/>
  <c r="K36" i="1"/>
  <c r="I17" i="52"/>
  <c r="H37" i="1" l="1"/>
  <c r="J36" i="1"/>
  <c r="H36" i="1" s="1"/>
  <c r="K38" i="1"/>
  <c r="G36" i="1" l="1"/>
  <c r="J38" i="1"/>
  <c r="H38" i="1" s="1"/>
  <c r="K35" i="1"/>
  <c r="G38" i="1" l="1"/>
  <c r="J35" i="1"/>
  <c r="G35" i="1" l="1"/>
  <c r="M16" i="1" s="1"/>
  <c r="M18" i="1"/>
  <c r="M17" i="1"/>
  <c r="M19" i="1"/>
  <c r="H35" i="1"/>
  <c r="M15" i="1" l="1"/>
  <c r="M14" i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<sst xmlns="http://schemas.openxmlformats.org/spreadsheetml/2006/main" count="201" uniqueCount="105">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</sst>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67"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</dxfs>
  <tableStyles count="0" defaultTableStyle="TableStyleMedium2" defaultPivotStyle="PivotStyleMedium9"/>
  <colors>
    <mruColors>
      <color rgb="FFF46152"/>
      <color rgb="FFF3EB4B"/>
      <color rgb="FFDFEB4B"/>
      <color rgb="FFDFF34B"/>
      <color rgb="FFEBF34B"/>
      <color rgb="FFABF34B"/>
      <color rgb="FF8DF34B"/>
      <color rgb="FFF7D470"/>
      <color rgb="FFF36B4B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8"/>
  <sheetViews>
    <sheetView tabSelected="1" zoomScaleNormal="100" workbookViewId="0">
      <selection activeCell="C40" sqref="C40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0" t="s">
        <v>67</v>
      </c>
      <c r="G3" s="111"/>
      <c r="H3" s="111"/>
      <c r="I3" s="112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3"/>
      <c r="G4" s="114"/>
      <c r="H4" s="114"/>
      <c r="I4" s="115"/>
      <c r="J4" s="37"/>
      <c r="K4" s="53" t="s">
        <v>16</v>
      </c>
      <c r="L4" s="48" t="s">
        <v>104</v>
      </c>
      <c r="M4" s="59">
        <f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3"/>
      <c r="G5" s="114"/>
      <c r="H5" s="114"/>
      <c r="I5" s="115"/>
      <c r="J5" s="37"/>
      <c r="K5" s="54" t="s">
        <v>17</v>
      </c>
      <c r="L5" s="48" t="s">
        <v>31</v>
      </c>
      <c r="M5" s="59">
        <f>COUNTIF(I$28:I$38, "="&amp;L5)</f>
        <v>0</v>
      </c>
    </row>
    <row r="6" spans="3:13" ht="15.75" thickBot="1" x14ac:dyDescent="0.3">
      <c r="C6" s="42" t="s">
        <v>12</v>
      </c>
      <c r="D6" s="67"/>
      <c r="F6" s="113"/>
      <c r="G6" s="114"/>
      <c r="H6" s="114"/>
      <c r="I6" s="115"/>
      <c r="J6" s="37"/>
      <c r="K6" s="55" t="s">
        <v>18</v>
      </c>
      <c r="L6" s="49" t="s">
        <v>33</v>
      </c>
      <c r="M6" s="59">
        <f>COUNTIF(I$28:I$38, "="&amp;L6)</f>
        <v>2</v>
      </c>
    </row>
    <row r="7" spans="3:13" ht="15.75" thickBot="1" x14ac:dyDescent="0.3">
      <c r="C7" s="40" t="s">
        <v>51</v>
      </c>
      <c r="D7" s="90">
        <v>11</v>
      </c>
      <c r="F7" s="107" t="s">
        <v>65</v>
      </c>
      <c r="G7" s="108"/>
      <c r="H7" s="108"/>
      <c r="I7" s="109"/>
      <c r="J7" s="35"/>
      <c r="K7" s="55" t="s">
        <v>19</v>
      </c>
      <c r="L7" s="49" t="s">
        <v>50</v>
      </c>
      <c r="M7" s="59">
        <f>COUNTIF(I$28:I$38, "="&amp;L7)</f>
        <v>2</v>
      </c>
    </row>
    <row r="8" spans="3:13" ht="15.75" thickBot="1" x14ac:dyDescent="0.3">
      <c r="C8" s="44" t="s">
        <v>52</v>
      </c>
      <c r="D8" s="91">
        <v>4</v>
      </c>
      <c r="F8" s="104" t="s">
        <v>66</v>
      </c>
      <c r="G8" s="105"/>
      <c r="H8" s="105"/>
      <c r="I8" s="106"/>
      <c r="J8" s="35"/>
      <c r="K8" s="55" t="s">
        <v>20</v>
      </c>
      <c r="L8" s="49" t="s">
        <v>37</v>
      </c>
      <c r="M8" s="59">
        <f>COUNTIF(I$28:I$38, "="&amp;L8)</f>
        <v>0</v>
      </c>
    </row>
    <row r="9" spans="3:13" ht="15.75" thickBot="1" x14ac:dyDescent="0.3">
      <c r="J9" s="35"/>
      <c r="K9" s="56" t="s">
        <v>21</v>
      </c>
      <c r="L9" s="50" t="s">
        <v>34</v>
      </c>
      <c r="M9" s="59">
        <f>COUNTIF(I$28:I$38, "="&amp;L9)</f>
        <v>3</v>
      </c>
    </row>
    <row r="10" spans="3:13" x14ac:dyDescent="0.25">
      <c r="C10" s="38" t="s">
        <v>48</v>
      </c>
      <c r="D10" s="39">
        <v>0.5</v>
      </c>
      <c r="F10" s="116" t="s">
        <v>68</v>
      </c>
      <c r="G10" s="117"/>
      <c r="H10" s="117"/>
      <c r="I10" s="118"/>
      <c r="J10" s="35"/>
      <c r="K10" s="56" t="s">
        <v>22</v>
      </c>
      <c r="L10" s="50" t="s">
        <v>32</v>
      </c>
      <c r="M10" s="59">
        <f>COUNTIF(I$28:I$38, "="&amp;L10)</f>
        <v>1</v>
      </c>
    </row>
    <row r="11" spans="3:13" x14ac:dyDescent="0.25">
      <c r="C11" s="42" t="s">
        <v>46</v>
      </c>
      <c r="D11" s="43">
        <v>0.4</v>
      </c>
      <c r="F11" s="107" t="s">
        <v>69</v>
      </c>
      <c r="G11" s="108"/>
      <c r="H11" s="108"/>
      <c r="I11" s="109"/>
      <c r="J11" s="35"/>
      <c r="K11" s="56" t="s">
        <v>23</v>
      </c>
      <c r="L11" s="50" t="s">
        <v>35</v>
      </c>
      <c r="M11" s="59">
        <f>COUNTIF(I$28:I$38, "="&amp;L11)</f>
        <v>1</v>
      </c>
    </row>
    <row r="12" spans="3:13" x14ac:dyDescent="0.25">
      <c r="C12" s="40" t="s">
        <v>43</v>
      </c>
      <c r="D12" s="41">
        <v>0.5</v>
      </c>
      <c r="F12" s="107" t="s">
        <v>71</v>
      </c>
      <c r="G12" s="108"/>
      <c r="H12" s="108"/>
      <c r="I12" s="109"/>
      <c r="J12" s="35"/>
      <c r="K12" s="57" t="s">
        <v>30</v>
      </c>
      <c r="L12" s="51" t="s">
        <v>36</v>
      </c>
      <c r="M12" s="59">
        <f>COUNTIF(I$28:I$38, "="&amp;L12)</f>
        <v>0</v>
      </c>
    </row>
    <row r="13" spans="3:13" ht="15.75" thickBot="1" x14ac:dyDescent="0.3">
      <c r="C13" s="44" t="s">
        <v>47</v>
      </c>
      <c r="D13" s="45">
        <v>0.4</v>
      </c>
      <c r="F13" s="104" t="s">
        <v>70</v>
      </c>
      <c r="G13" s="105"/>
      <c r="H13" s="105"/>
      <c r="I13" s="106"/>
      <c r="J13" s="35"/>
      <c r="K13" s="58" t="s">
        <v>29</v>
      </c>
      <c r="L13" s="52" t="s">
        <v>38</v>
      </c>
      <c r="M13" s="59">
        <f>COUNTIF(I$28:I$38, "="&amp;L13)</f>
        <v>1</v>
      </c>
    </row>
    <row r="14" spans="3:13" x14ac:dyDescent="0.25">
      <c r="J14" s="35"/>
      <c r="K14" s="121" t="s">
        <v>28</v>
      </c>
      <c r="L14" s="122"/>
      <c r="M14" s="60">
        <f>COUNTIF(H28:H38, "=FAIL")</f>
        <v>3</v>
      </c>
    </row>
    <row r="15" spans="3:13" x14ac:dyDescent="0.25">
      <c r="J15" s="35"/>
      <c r="K15" s="123" t="s">
        <v>27</v>
      </c>
      <c r="L15" s="124"/>
      <c r="M15" s="59">
        <f>COUNTIF(H28:H38, "=PASS")</f>
        <v>8</v>
      </c>
    </row>
    <row r="16" spans="3:13" x14ac:dyDescent="0.25">
      <c r="J16" s="35"/>
      <c r="K16" s="123" t="s">
        <v>39</v>
      </c>
      <c r="L16" s="124"/>
      <c r="M16" s="59">
        <f>COUNTIF(G28:G38, "=WRITE SUPP")</f>
        <v>2</v>
      </c>
    </row>
    <row r="17" spans="1:17" x14ac:dyDescent="0.25">
      <c r="J17" s="35"/>
      <c r="K17" s="123" t="s">
        <v>40</v>
      </c>
      <c r="L17" s="124"/>
      <c r="M17" s="61">
        <f>MAX(J28:J38)-MIN(J28:J38)</f>
        <v>0.49799999999999989</v>
      </c>
    </row>
    <row r="18" spans="1:17" x14ac:dyDescent="0.25">
      <c r="J18" s="35"/>
      <c r="K18" s="123" t="s">
        <v>41</v>
      </c>
      <c r="L18" s="124"/>
      <c r="M18" s="61">
        <f>AVERAGE(J28:J38)</f>
        <v>0.61180165289256194</v>
      </c>
    </row>
    <row r="19" spans="1:17" ht="15.75" thickBot="1" x14ac:dyDescent="0.3">
      <c r="J19" s="35"/>
      <c r="K19" s="119" t="s">
        <v>42</v>
      </c>
      <c r="L19" s="120"/>
      <c r="M19" s="62">
        <f>STDEV(J28:J38)</f>
        <v>0.13296972760671752</v>
      </c>
    </row>
    <row r="24" spans="1:17" ht="15.75" thickBot="1" x14ac:dyDescent="0.3"/>
    <row r="25" spans="1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1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0">O27/$M$27</f>
        <v>0.27272727272727271</v>
      </c>
      <c r="P26" s="97">
        <f t="shared" si="0"/>
        <v>0.18181818181818182</v>
      </c>
      <c r="Q26" s="97">
        <f t="shared" si="0"/>
        <v>0.45454545454545453</v>
      </c>
    </row>
    <row r="27" spans="1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1:17" x14ac:dyDescent="0.25">
      <c r="A28" s="102"/>
      <c r="C28" s="103"/>
      <c r="D28" s="73" t="s">
        <v>76</v>
      </c>
      <c r="E28" s="96" t="s">
        <v>89</v>
      </c>
      <c r="F28" s="88" t="s">
        <v>78</v>
      </c>
      <c r="G28" s="74" t="str">
        <f t="shared" ref="G28:G38" si="1">IF(AND(K28&gt;=D$13, J28&gt;=D$11), IF(OR(K28&lt;D$12, J28&lt;D$10), "WRITE SUPP", "NO SUPP"), "NO SUPP")</f>
        <v>NO SUPP</v>
      </c>
      <c r="H28" s="74" t="str">
        <f t="shared" ref="H28:H38" si="2">IF(K28&gt;=D$12, IF(J28&gt;=D$10, "PASS", "FAIL"), "FAIL")</f>
        <v>PASS</v>
      </c>
      <c r="I28" s="74" t="str">
        <f t="shared" ref="I28:I37" si="3">STUDENT_GRADE(J28,K$4:K$13,L$4:L$13)</f>
        <v>B</v>
      </c>
      <c r="J28" s="89">
        <f t="shared" ref="J28:J38" si="4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5">M28/M$27</f>
        <v>0.66818181818181821</v>
      </c>
      <c r="M28" s="74">
        <f>SUM(N28:Q28)</f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1:17" x14ac:dyDescent="0.25">
      <c r="A29" s="102"/>
      <c r="D29" s="73" t="s">
        <v>79</v>
      </c>
      <c r="E29" s="96" t="s">
        <v>77</v>
      </c>
      <c r="F29" s="88" t="s">
        <v>81</v>
      </c>
      <c r="G29" s="74" t="str">
        <f t="shared" si="1"/>
        <v>NO SUPP</v>
      </c>
      <c r="H29" s="74" t="str">
        <f t="shared" si="2"/>
        <v>PASS</v>
      </c>
      <c r="I29" s="74" t="str">
        <f t="shared" si="3"/>
        <v>A+</v>
      </c>
      <c r="J29" s="89">
        <f t="shared" si="4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5"/>
        <v>0.8954545454545455</v>
      </c>
      <c r="M29" s="74">
        <f>SUM(N29:Q29)</f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1:17" x14ac:dyDescent="0.25">
      <c r="A30" s="102"/>
      <c r="D30" s="101" t="s">
        <v>80</v>
      </c>
      <c r="E30" s="101" t="s">
        <v>84</v>
      </c>
      <c r="F30" s="88" t="s">
        <v>82</v>
      </c>
      <c r="G30" s="74" t="str">
        <f t="shared" si="1"/>
        <v>NO SUPP</v>
      </c>
      <c r="H30" s="74" t="str">
        <f t="shared" si="2"/>
        <v>FAIL</v>
      </c>
      <c r="I30" s="74" t="str">
        <f t="shared" si="3"/>
        <v>F</v>
      </c>
      <c r="J30" s="89">
        <f t="shared" si="4"/>
        <v>0.38727272727272732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5"/>
        <v>0.34545454545454546</v>
      </c>
      <c r="M30" s="74">
        <f>SUM(N30:Q30)</f>
        <v>38</v>
      </c>
      <c r="N30" s="75">
        <f>'Test 1'!I9</f>
        <v>4</v>
      </c>
      <c r="O30" s="75">
        <f>'Test 2'!I9</f>
        <v>9.0000000000000018</v>
      </c>
      <c r="P30" s="75">
        <f>'Oral Assignment 1'!I9</f>
        <v>9</v>
      </c>
      <c r="Q30" s="75">
        <f>'Test 4'!I9</f>
        <v>16</v>
      </c>
    </row>
    <row r="31" spans="1:17" x14ac:dyDescent="0.25">
      <c r="A31" s="102"/>
      <c r="D31" s="73" t="s">
        <v>85</v>
      </c>
      <c r="E31" s="73" t="s">
        <v>86</v>
      </c>
      <c r="F31" s="88" t="s">
        <v>83</v>
      </c>
      <c r="G31" s="74" t="str">
        <f t="shared" si="1"/>
        <v>NO SUPP</v>
      </c>
      <c r="H31" s="74" t="str">
        <f t="shared" si="2"/>
        <v>PASS</v>
      </c>
      <c r="I31" s="74" t="str">
        <f t="shared" si="3"/>
        <v>C</v>
      </c>
      <c r="J31" s="89">
        <f t="shared" si="4"/>
        <v>0.53927272727272724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5"/>
        <v>0.54545454545454541</v>
      </c>
      <c r="M31" s="74">
        <f>SUM(N31:Q31)</f>
        <v>60</v>
      </c>
      <c r="N31" s="75">
        <f>'Test 1'!I10</f>
        <v>5</v>
      </c>
      <c r="O31" s="75">
        <f>'Test 2'!I10</f>
        <v>13.999999999999998</v>
      </c>
      <c r="P31" s="75">
        <f>'Oral Assignment 1'!I10</f>
        <v>11</v>
      </c>
      <c r="Q31" s="75">
        <f>'Test 4'!I10</f>
        <v>30</v>
      </c>
    </row>
    <row r="32" spans="1:17" x14ac:dyDescent="0.25">
      <c r="A32" s="102"/>
      <c r="D32" s="73" t="s">
        <v>88</v>
      </c>
      <c r="E32" s="73" t="s">
        <v>87</v>
      </c>
      <c r="F32" s="88" t="s">
        <v>90</v>
      </c>
      <c r="G32" s="74" t="str">
        <f>IF(AND(K32&gt;=D$13, J32&gt;=D$11), IF(OR(K32&lt;D$12, J32&lt;D$10), "WRITE SUPP", "NO SUPP"), "NO SUPP")</f>
        <v>WRITE SUPP</v>
      </c>
      <c r="H32" s="74" t="str">
        <f t="shared" si="2"/>
        <v>FAIL</v>
      </c>
      <c r="I32" s="74" t="str">
        <f t="shared" si="3"/>
        <v>C+</v>
      </c>
      <c r="J32" s="89">
        <f t="shared" si="4"/>
        <v>0.5730909090909091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5"/>
        <v>0.68181818181818177</v>
      </c>
      <c r="M32" s="74">
        <f>SUM(N32:Q32)</f>
        <v>75</v>
      </c>
      <c r="N32" s="75">
        <f>'Test 1'!I11</f>
        <v>6</v>
      </c>
      <c r="O32" s="75">
        <f>'Test 2'!I11</f>
        <v>14.999999999999998</v>
      </c>
      <c r="P32" s="75">
        <f>'Oral Assignment 1'!I11</f>
        <v>19</v>
      </c>
      <c r="Q32" s="75">
        <f>'Test 4'!I11</f>
        <v>35</v>
      </c>
    </row>
    <row r="33" spans="1:17" x14ac:dyDescent="0.25">
      <c r="A33" s="102"/>
      <c r="D33" s="73" t="s">
        <v>92</v>
      </c>
      <c r="E33" s="73" t="s">
        <v>91</v>
      </c>
      <c r="F33" s="88" t="s">
        <v>93</v>
      </c>
      <c r="G33" s="74" t="str">
        <f t="shared" si="1"/>
        <v>WRITE SUPP</v>
      </c>
      <c r="H33" s="74" t="str">
        <f t="shared" si="2"/>
        <v>FAIL</v>
      </c>
      <c r="I33" s="74" t="str">
        <f t="shared" si="3"/>
        <v>C-</v>
      </c>
      <c r="J33" s="89">
        <f t="shared" si="4"/>
        <v>0.47272727272727277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5"/>
        <v>0.35454545454545455</v>
      </c>
      <c r="M33" s="74">
        <f>SUM(N33:Q33)</f>
        <v>39</v>
      </c>
      <c r="N33" s="75">
        <f>'Test 1'!I12</f>
        <v>3.0000000000000004</v>
      </c>
      <c r="O33" s="75">
        <f>'Test 2'!I12</f>
        <v>8</v>
      </c>
      <c r="P33" s="75">
        <f>'Oral Assignment 1'!I12</f>
        <v>11</v>
      </c>
      <c r="Q33" s="75">
        <f>'Test 4'!I12</f>
        <v>17</v>
      </c>
    </row>
    <row r="34" spans="1:17" x14ac:dyDescent="0.25">
      <c r="A34" s="102"/>
      <c r="D34" s="73" t="s">
        <v>95</v>
      </c>
      <c r="E34" s="73" t="s">
        <v>94</v>
      </c>
      <c r="F34" s="88" t="s">
        <v>97</v>
      </c>
      <c r="G34" s="74" t="str">
        <f t="shared" si="1"/>
        <v>NO SUPP</v>
      </c>
      <c r="H34" s="74" t="str">
        <f t="shared" si="2"/>
        <v>PASS</v>
      </c>
      <c r="I34" s="74" t="str">
        <f t="shared" si="3"/>
        <v>C+</v>
      </c>
      <c r="J34" s="89">
        <f t="shared" si="4"/>
        <v>0.58654545454545448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5"/>
        <v>0.59090909090909094</v>
      </c>
      <c r="M34" s="74">
        <f>SUM(N34:Q34)</f>
        <v>65</v>
      </c>
      <c r="N34" s="75">
        <f>'Test 1'!I13</f>
        <v>6</v>
      </c>
      <c r="O34" s="75" t="str">
        <f>'Test 2'!I13</f>
        <v>INVALID ENTRY</v>
      </c>
      <c r="P34" s="75">
        <f>'Oral Assignment 1'!I13</f>
        <v>12</v>
      </c>
      <c r="Q34" s="75">
        <f>'Test 4'!I13</f>
        <v>47</v>
      </c>
    </row>
    <row r="35" spans="1:17" x14ac:dyDescent="0.25">
      <c r="A35" s="102"/>
      <c r="D35" s="73" t="s">
        <v>95</v>
      </c>
      <c r="E35" s="73" t="s">
        <v>99</v>
      </c>
      <c r="F35" s="88" t="s">
        <v>98</v>
      </c>
      <c r="G35" s="74" t="str">
        <f t="shared" si="1"/>
        <v>NO SUPP</v>
      </c>
      <c r="H35" s="74" t="str">
        <f t="shared" si="2"/>
        <v>PASS</v>
      </c>
      <c r="I35" s="74" t="str">
        <f t="shared" si="3"/>
        <v>C+</v>
      </c>
      <c r="J35" s="89">
        <f t="shared" si="4"/>
        <v>0.57327272727272727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5"/>
        <v>0.49545454545454548</v>
      </c>
      <c r="M35" s="74">
        <f>SUM(N35:Q35)</f>
        <v>54.5</v>
      </c>
      <c r="N35" s="75" t="str">
        <f>'Test 1'!I14</f>
        <v>INVALID MARK</v>
      </c>
      <c r="O35" s="75">
        <f>'Test 2'!I14</f>
        <v>15.499999999999998</v>
      </c>
      <c r="P35" s="75">
        <f>'Oral Assignment 1'!I14</f>
        <v>13</v>
      </c>
      <c r="Q35" s="75">
        <f>'Test 4'!I14</f>
        <v>26</v>
      </c>
    </row>
    <row r="36" spans="1:17" x14ac:dyDescent="0.25">
      <c r="A36" s="102"/>
      <c r="D36" s="73" t="s">
        <v>95</v>
      </c>
      <c r="E36" s="73" t="s">
        <v>96</v>
      </c>
      <c r="F36" s="88" t="s">
        <v>100</v>
      </c>
      <c r="G36" s="74" t="str">
        <f t="shared" si="1"/>
        <v>NO SUPP</v>
      </c>
      <c r="H36" s="74" t="str">
        <f t="shared" si="2"/>
        <v>PASS</v>
      </c>
      <c r="I36" s="74" t="str">
        <f t="shared" si="3"/>
        <v>B</v>
      </c>
      <c r="J36" s="89">
        <f t="shared" si="4"/>
        <v>0.67654545454545456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5"/>
        <v>0.59090909090909094</v>
      </c>
      <c r="M36" s="74">
        <f>SUM(N36:Q36)</f>
        <v>65</v>
      </c>
      <c r="N36" s="75">
        <f>'Test 1'!I15</f>
        <v>9</v>
      </c>
      <c r="O36" s="75">
        <f>'Test 2'!I15</f>
        <v>11</v>
      </c>
      <c r="P36" s="75" t="str">
        <f>'Oral Assignment 1'!I15</f>
        <v>MISSING MARK</v>
      </c>
      <c r="Q36" s="75">
        <f>'Test 4'!I15</f>
        <v>45</v>
      </c>
    </row>
    <row r="37" spans="1:17" x14ac:dyDescent="0.25">
      <c r="A37" s="102"/>
      <c r="D37" s="73" t="s">
        <v>2</v>
      </c>
      <c r="E37" s="73" t="s">
        <v>96</v>
      </c>
      <c r="F37" s="88"/>
      <c r="G37" s="74" t="str">
        <f t="shared" si="1"/>
        <v>NO SUPP</v>
      </c>
      <c r="H37" s="74" t="str">
        <f t="shared" si="2"/>
        <v>PASS</v>
      </c>
      <c r="I37" s="74" t="str">
        <f t="shared" si="3"/>
        <v>B+</v>
      </c>
      <c r="J37" s="89">
        <f t="shared" si="4"/>
        <v>0.72527272727272729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5"/>
        <v>0.69545454545454544</v>
      </c>
      <c r="M37" s="74">
        <f>SUM(N37:Q37)</f>
        <v>76.5</v>
      </c>
      <c r="N37" s="75">
        <f>'Test 1'!I16</f>
        <v>10</v>
      </c>
      <c r="O37" s="75">
        <f>'Test 2'!I16</f>
        <v>17.999999999999996</v>
      </c>
      <c r="P37" s="75">
        <f>'Oral Assignment 1'!I16</f>
        <v>12.5</v>
      </c>
      <c r="Q37" s="75">
        <f>'Test 4'!I16</f>
        <v>36</v>
      </c>
    </row>
    <row r="38" spans="1:17" x14ac:dyDescent="0.25">
      <c r="A38" s="102"/>
      <c r="D38" s="73" t="s">
        <v>102</v>
      </c>
      <c r="E38" s="73" t="s">
        <v>101</v>
      </c>
      <c r="F38" s="88" t="s">
        <v>103</v>
      </c>
      <c r="G38" s="74" t="str">
        <f t="shared" si="1"/>
        <v>NO SUPP</v>
      </c>
      <c r="H38" s="74" t="str">
        <f t="shared" si="2"/>
        <v>PASS</v>
      </c>
      <c r="I38" s="74" t="str">
        <f>STUDENT_GRADE(J38,K$4:K$13,L$4:L$13)</f>
        <v>B+</v>
      </c>
      <c r="J38" s="89">
        <f t="shared" si="4"/>
        <v>0.61963636363636354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5"/>
        <v>0.57272727272727275</v>
      </c>
      <c r="M38" s="74">
        <f>SUM(N38:Q38)</f>
        <v>63</v>
      </c>
      <c r="N38" s="75">
        <f>'Test 1'!I17</f>
        <v>7</v>
      </c>
      <c r="O38" s="75">
        <f>'Test 2'!I17</f>
        <v>16.999999999999996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3">
    <mergeCell ref="K19:L19"/>
    <mergeCell ref="K14:L14"/>
    <mergeCell ref="K15:L15"/>
    <mergeCell ref="K16:L16"/>
    <mergeCell ref="K17:L17"/>
    <mergeCell ref="K18:L18"/>
    <mergeCell ref="F8:I8"/>
    <mergeCell ref="F7:I7"/>
    <mergeCell ref="F3:I6"/>
    <mergeCell ref="F13:I13"/>
    <mergeCell ref="F12:I12"/>
    <mergeCell ref="F11:I11"/>
    <mergeCell ref="F10:I10"/>
  </mergeCells>
  <conditionalFormatting sqref="I28:I38">
    <cfRule type="cellIs" dxfId="166" priority="1303" operator="equal">
      <formula>$L$11</formula>
    </cfRule>
    <cfRule type="cellIs" dxfId="165" priority="1305" operator="equal">
      <formula>$L$9</formula>
    </cfRule>
    <cfRule type="cellIs" dxfId="164" priority="5465" operator="equal">
      <formula>$L$8</formula>
    </cfRule>
    <cfRule type="cellIs" dxfId="163" priority="5467" operator="equal">
      <formula>$L$6</formula>
    </cfRule>
    <cfRule type="cellIs" dxfId="162" priority="5468" operator="equal">
      <formula>$L$5</formula>
    </cfRule>
    <cfRule type="cellIs" dxfId="161" priority="5715" operator="equal">
      <formula>$L$4</formula>
    </cfRule>
  </conditionalFormatting>
  <conditionalFormatting sqref="G28">
    <cfRule type="containsText" dxfId="160" priority="5714" operator="containsText" text="WRITE SUPP">
      <formula>NOT(ISERROR(SEARCH("WRITE SUPP",G28)))</formula>
    </cfRule>
  </conditionalFormatting>
  <conditionalFormatting sqref="K28:K38">
    <cfRule type="containsText" dxfId="159" priority="2133" operator="containsText" text="MISSING MARK">
      <formula>NOT(ISERROR(SEARCH("MISSING MARK",K28)))</formula>
    </cfRule>
    <cfRule type="containsText" dxfId="158" priority="5710" operator="containsText" text="INVALID MARK">
      <formula>NOT(ISERROR(SEARCH("INVALID MARK",K28)))</formula>
    </cfRule>
    <cfRule type="cellIs" dxfId="157" priority="5717" operator="lessThan">
      <formula>$D$12</formula>
    </cfRule>
    <cfRule type="cellIs" priority="5718" operator="greaterThanOrEqual">
      <formula>$D$12</formula>
    </cfRule>
    <cfRule type="expression" dxfId="156" priority="5719">
      <formula>"&gt;=$D$10"</formula>
    </cfRule>
  </conditionalFormatting>
  <conditionalFormatting sqref="N28">
    <cfRule type="containsText" dxfId="155" priority="5711" operator="containsText" text="INVALID MARK">
      <formula>NOT(ISERROR(SEARCH("INVALID MARK",N28)))</formula>
    </cfRule>
    <cfRule type="containsText" dxfId="154" priority="5712" operator="containsText" text="INVALID ENTRY">
      <formula>NOT(ISERROR(SEARCH("INVALID ENTRY",N28)))</formula>
    </cfRule>
    <cfRule type="containsText" dxfId="153" priority="5713" operator="containsText" text="MISSING MARK">
      <formula>NOT(ISERROR(SEARCH("MISSING MARK",N28)))</formula>
    </cfRule>
  </conditionalFormatting>
  <conditionalFormatting sqref="H28">
    <cfRule type="containsText" dxfId="152" priority="5709" operator="containsText" text="FAIL">
      <formula>NOT(ISERROR(SEARCH("FAIL",H28)))</formula>
    </cfRule>
  </conditionalFormatting>
  <conditionalFormatting sqref="I28:I38">
    <cfRule type="cellIs" dxfId="151" priority="1301" operator="equal">
      <formula>$L$13</formula>
    </cfRule>
    <cfRule type="cellIs" dxfId="150" priority="1302" operator="equal">
      <formula>$L$12</formula>
    </cfRule>
    <cfRule type="cellIs" dxfId="149" priority="1304" operator="equal">
      <formula>$L$10</formula>
    </cfRule>
    <cfRule type="cellIs" dxfId="148" priority="5466" operator="equal">
      <formula>$L$7</formula>
    </cfRule>
  </conditionalFormatting>
  <conditionalFormatting sqref="G29:G31">
    <cfRule type="containsText" dxfId="147" priority="2273" operator="containsText" text="WRITE SUPP">
      <formula>NOT(ISERROR(SEARCH("WRITE SUPP",G29)))</formula>
    </cfRule>
  </conditionalFormatting>
  <conditionalFormatting sqref="J28:J37">
    <cfRule type="cellIs" dxfId="146" priority="2275" operator="lessThan">
      <formula>$D$10</formula>
    </cfRule>
  </conditionalFormatting>
  <conditionalFormatting sqref="N29:N31">
    <cfRule type="containsText" dxfId="145" priority="2270" operator="containsText" text="INVALID MARK">
      <formula>NOT(ISERROR(SEARCH("INVALID MARK",N29)))</formula>
    </cfRule>
    <cfRule type="containsText" dxfId="144" priority="2271" operator="containsText" text="INVALID ENTRY">
      <formula>NOT(ISERROR(SEARCH("INVALID ENTRY",N29)))</formula>
    </cfRule>
    <cfRule type="containsText" dxfId="143" priority="2272" operator="containsText" text="MISSING MARK">
      <formula>NOT(ISERROR(SEARCH("MISSING MARK",N29)))</formula>
    </cfRule>
  </conditionalFormatting>
  <conditionalFormatting sqref="H29:H31">
    <cfRule type="containsText" dxfId="142" priority="2268" operator="containsText" text="FAIL">
      <formula>NOT(ISERROR(SEARCH("FAIL",H29)))</formula>
    </cfRule>
  </conditionalFormatting>
  <conditionalFormatting sqref="O28">
    <cfRule type="containsText" dxfId="141" priority="2261" operator="containsText" text="INVALID MARK">
      <formula>NOT(ISERROR(SEARCH("INVALID MARK",O28)))</formula>
    </cfRule>
    <cfRule type="containsText" dxfId="140" priority="2262" operator="containsText" text="INVALID ENTRY">
      <formula>NOT(ISERROR(SEARCH("INVALID ENTRY",O28)))</formula>
    </cfRule>
    <cfRule type="containsText" dxfId="139" priority="2263" operator="containsText" text="MISSING MARK">
      <formula>NOT(ISERROR(SEARCH("MISSING MARK",O28)))</formula>
    </cfRule>
  </conditionalFormatting>
  <conditionalFormatting sqref="O29:O31">
    <cfRule type="containsText" dxfId="138" priority="2258" operator="containsText" text="INVALID MARK">
      <formula>NOT(ISERROR(SEARCH("INVALID MARK",O29)))</formula>
    </cfRule>
    <cfRule type="containsText" dxfId="137" priority="2259" operator="containsText" text="INVALID ENTRY">
      <formula>NOT(ISERROR(SEARCH("INVALID ENTRY",O29)))</formula>
    </cfRule>
    <cfRule type="containsText" dxfId="136" priority="2260" operator="containsText" text="MISSING MARK">
      <formula>NOT(ISERROR(SEARCH("MISSING MARK",O29)))</formula>
    </cfRule>
  </conditionalFormatting>
  <conditionalFormatting sqref="P28">
    <cfRule type="containsText" dxfId="135" priority="2255" operator="containsText" text="INVALID MARK">
      <formula>NOT(ISERROR(SEARCH("INVALID MARK",P28)))</formula>
    </cfRule>
    <cfRule type="containsText" dxfId="134" priority="2256" operator="containsText" text="INVALID ENTRY">
      <formula>NOT(ISERROR(SEARCH("INVALID ENTRY",P28)))</formula>
    </cfRule>
    <cfRule type="containsText" dxfId="133" priority="2257" operator="containsText" text="MISSING MARK">
      <formula>NOT(ISERROR(SEARCH("MISSING MARK",P28)))</formula>
    </cfRule>
  </conditionalFormatting>
  <conditionalFormatting sqref="P29:P31">
    <cfRule type="containsText" dxfId="132" priority="2252" operator="containsText" text="INVALID MARK">
      <formula>NOT(ISERROR(SEARCH("INVALID MARK",P29)))</formula>
    </cfRule>
    <cfRule type="containsText" dxfId="131" priority="2253" operator="containsText" text="INVALID ENTRY">
      <formula>NOT(ISERROR(SEARCH("INVALID ENTRY",P29)))</formula>
    </cfRule>
    <cfRule type="containsText" dxfId="130" priority="2254" operator="containsText" text="MISSING MARK">
      <formula>NOT(ISERROR(SEARCH("MISSING MARK",P29)))</formula>
    </cfRule>
  </conditionalFormatting>
  <conditionalFormatting sqref="Q28">
    <cfRule type="containsText" dxfId="129" priority="2243" operator="containsText" text="INVALID MARK">
      <formula>NOT(ISERROR(SEARCH("INVALID MARK",Q28)))</formula>
    </cfRule>
    <cfRule type="containsText" dxfId="128" priority="2244" operator="containsText" text="INVALID ENTRY">
      <formula>NOT(ISERROR(SEARCH("INVALID ENTRY",Q28)))</formula>
    </cfRule>
    <cfRule type="containsText" dxfId="127" priority="2245" operator="containsText" text="MISSING MARK">
      <formula>NOT(ISERROR(SEARCH("MISSING MARK",Q28)))</formula>
    </cfRule>
  </conditionalFormatting>
  <conditionalFormatting sqref="Q29:Q31">
    <cfRule type="containsText" dxfId="126" priority="2240" operator="containsText" text="INVALID MARK">
      <formula>NOT(ISERROR(SEARCH("INVALID MARK",Q29)))</formula>
    </cfRule>
    <cfRule type="containsText" dxfId="125" priority="2241" operator="containsText" text="INVALID ENTRY">
      <formula>NOT(ISERROR(SEARCH("INVALID ENTRY",Q29)))</formula>
    </cfRule>
    <cfRule type="containsText" dxfId="124" priority="2242" operator="containsText" text="MISSING MARK">
      <formula>NOT(ISERROR(SEARCH("MISSING MARK",Q29)))</formula>
    </cfRule>
  </conditionalFormatting>
  <conditionalFormatting sqref="G32:G36">
    <cfRule type="containsText" dxfId="123" priority="2234" operator="containsText" text="WRITE SUPP">
      <formula>NOT(ISERROR(SEARCH("WRITE SUPP",G32)))</formula>
    </cfRule>
  </conditionalFormatting>
  <conditionalFormatting sqref="N32:N36">
    <cfRule type="containsText" dxfId="122" priority="2231" operator="containsText" text="INVALID MARK">
      <formula>NOT(ISERROR(SEARCH("INVALID MARK",N32)))</formula>
    </cfRule>
    <cfRule type="containsText" dxfId="121" priority="2232" operator="containsText" text="INVALID ENTRY">
      <formula>NOT(ISERROR(SEARCH("INVALID ENTRY",N32)))</formula>
    </cfRule>
    <cfRule type="containsText" dxfId="120" priority="2233" operator="containsText" text="MISSING MARK">
      <formula>NOT(ISERROR(SEARCH("MISSING MARK",N32)))</formula>
    </cfRule>
  </conditionalFormatting>
  <conditionalFormatting sqref="H32:H36">
    <cfRule type="containsText" dxfId="119" priority="2229" operator="containsText" text="FAIL">
      <formula>NOT(ISERROR(SEARCH("FAIL",H32)))</formula>
    </cfRule>
  </conditionalFormatting>
  <conditionalFormatting sqref="O32:O36">
    <cfRule type="containsText" dxfId="118" priority="2222" operator="containsText" text="INVALID MARK">
      <formula>NOT(ISERROR(SEARCH("INVALID MARK",O32)))</formula>
    </cfRule>
    <cfRule type="containsText" dxfId="117" priority="2223" operator="containsText" text="INVALID ENTRY">
      <formula>NOT(ISERROR(SEARCH("INVALID ENTRY",O32)))</formula>
    </cfRule>
    <cfRule type="containsText" dxfId="116" priority="2224" operator="containsText" text="MISSING MARK">
      <formula>NOT(ISERROR(SEARCH("MISSING MARK",O32)))</formula>
    </cfRule>
  </conditionalFormatting>
  <conditionalFormatting sqref="P32:P36">
    <cfRule type="containsText" dxfId="115" priority="2219" operator="containsText" text="INVALID MARK">
      <formula>NOT(ISERROR(SEARCH("INVALID MARK",P32)))</formula>
    </cfRule>
    <cfRule type="containsText" dxfId="114" priority="2220" operator="containsText" text="INVALID ENTRY">
      <formula>NOT(ISERROR(SEARCH("INVALID ENTRY",P32)))</formula>
    </cfRule>
    <cfRule type="containsText" dxfId="113" priority="2221" operator="containsText" text="MISSING MARK">
      <formula>NOT(ISERROR(SEARCH("MISSING MARK",P32)))</formula>
    </cfRule>
  </conditionalFormatting>
  <conditionalFormatting sqref="Q32:Q36">
    <cfRule type="containsText" dxfId="112" priority="2216" operator="containsText" text="INVALID MARK">
      <formula>NOT(ISERROR(SEARCH("INVALID MARK",Q32)))</formula>
    </cfRule>
    <cfRule type="containsText" dxfId="111" priority="2217" operator="containsText" text="INVALID ENTRY">
      <formula>NOT(ISERROR(SEARCH("INVALID ENTRY",Q32)))</formula>
    </cfRule>
    <cfRule type="containsText" dxfId="110" priority="2218" operator="containsText" text="MISSING MARK">
      <formula>NOT(ISERROR(SEARCH("MISSING MARK",Q32)))</formula>
    </cfRule>
  </conditionalFormatting>
  <conditionalFormatting sqref="G37">
    <cfRule type="containsText" dxfId="109" priority="2201" operator="containsText" text="WRITE SUPP">
      <formula>NOT(ISERROR(SEARCH("WRITE SUPP",G37)))</formula>
    </cfRule>
  </conditionalFormatting>
  <conditionalFormatting sqref="N37">
    <cfRule type="containsText" dxfId="108" priority="2198" operator="containsText" text="INVALID MARK">
      <formula>NOT(ISERROR(SEARCH("INVALID MARK",N37)))</formula>
    </cfRule>
    <cfRule type="containsText" dxfId="107" priority="2199" operator="containsText" text="INVALID ENTRY">
      <formula>NOT(ISERROR(SEARCH("INVALID ENTRY",N37)))</formula>
    </cfRule>
    <cfRule type="containsText" dxfId="106" priority="2200" operator="containsText" text="MISSING MARK">
      <formula>NOT(ISERROR(SEARCH("MISSING MARK",N37)))</formula>
    </cfRule>
  </conditionalFormatting>
  <conditionalFormatting sqref="H37">
    <cfRule type="containsText" dxfId="105" priority="2196" operator="containsText" text="FAIL">
      <formula>NOT(ISERROR(SEARCH("FAIL",H37)))</formula>
    </cfRule>
  </conditionalFormatting>
  <conditionalFormatting sqref="O37">
    <cfRule type="containsText" dxfId="104" priority="2189" operator="containsText" text="INVALID MARK">
      <formula>NOT(ISERROR(SEARCH("INVALID MARK",O37)))</formula>
    </cfRule>
    <cfRule type="containsText" dxfId="103" priority="2190" operator="containsText" text="INVALID ENTRY">
      <formula>NOT(ISERROR(SEARCH("INVALID ENTRY",O37)))</formula>
    </cfRule>
    <cfRule type="containsText" dxfId="102" priority="2191" operator="containsText" text="MISSING MARK">
      <formula>NOT(ISERROR(SEARCH("MISSING MARK",O37)))</formula>
    </cfRule>
  </conditionalFormatting>
  <conditionalFormatting sqref="P37">
    <cfRule type="containsText" dxfId="101" priority="2186" operator="containsText" text="INVALID MARK">
      <formula>NOT(ISERROR(SEARCH("INVALID MARK",P37)))</formula>
    </cfRule>
    <cfRule type="containsText" dxfId="100" priority="2187" operator="containsText" text="INVALID ENTRY">
      <formula>NOT(ISERROR(SEARCH("INVALID ENTRY",P37)))</formula>
    </cfRule>
    <cfRule type="containsText" dxfId="99" priority="2188" operator="containsText" text="MISSING MARK">
      <formula>NOT(ISERROR(SEARCH("MISSING MARK",P37)))</formula>
    </cfRule>
  </conditionalFormatting>
  <conditionalFormatting sqref="Q37">
    <cfRule type="containsText" dxfId="98" priority="2183" operator="containsText" text="INVALID MARK">
      <formula>NOT(ISERROR(SEARCH("INVALID MARK",Q37)))</formula>
    </cfRule>
    <cfRule type="containsText" dxfId="97" priority="2184" operator="containsText" text="INVALID ENTRY">
      <formula>NOT(ISERROR(SEARCH("INVALID ENTRY",Q37)))</formula>
    </cfRule>
    <cfRule type="containsText" dxfId="96" priority="2185" operator="containsText" text="MISSING MARK">
      <formula>NOT(ISERROR(SEARCH("MISSING MARK",Q37)))</formula>
    </cfRule>
  </conditionalFormatting>
  <conditionalFormatting sqref="J38">
    <cfRule type="cellIs" dxfId="95" priority="2103" operator="lessThan">
      <formula>$D$10</formula>
    </cfRule>
  </conditionalFormatting>
  <conditionalFormatting sqref="G38">
    <cfRule type="containsText" dxfId="94" priority="2101" operator="containsText" text="WRITE SUPP">
      <formula>NOT(ISERROR(SEARCH("WRITE SUPP",G38)))</formula>
    </cfRule>
  </conditionalFormatting>
  <conditionalFormatting sqref="N38">
    <cfRule type="containsText" dxfId="93" priority="2098" operator="containsText" text="INVALID MARK">
      <formula>NOT(ISERROR(SEARCH("INVALID MARK",N38)))</formula>
    </cfRule>
    <cfRule type="containsText" dxfId="92" priority="2099" operator="containsText" text="INVALID ENTRY">
      <formula>NOT(ISERROR(SEARCH("INVALID ENTRY",N38)))</formula>
    </cfRule>
    <cfRule type="containsText" dxfId="91" priority="2100" operator="containsText" text="MISSING MARK">
      <formula>NOT(ISERROR(SEARCH("MISSING MARK",N38)))</formula>
    </cfRule>
  </conditionalFormatting>
  <conditionalFormatting sqref="H38">
    <cfRule type="containsText" dxfId="90" priority="2097" operator="containsText" text="FAIL">
      <formula>NOT(ISERROR(SEARCH("FAIL",H38)))</formula>
    </cfRule>
  </conditionalFormatting>
  <conditionalFormatting sqref="O38">
    <cfRule type="containsText" dxfId="89" priority="2090" operator="containsText" text="INVALID MARK">
      <formula>NOT(ISERROR(SEARCH("INVALID MARK",O38)))</formula>
    </cfRule>
    <cfRule type="containsText" dxfId="88" priority="2091" operator="containsText" text="INVALID ENTRY">
      <formula>NOT(ISERROR(SEARCH("INVALID ENTRY",O38)))</formula>
    </cfRule>
    <cfRule type="containsText" dxfId="87" priority="2092" operator="containsText" text="MISSING MARK">
      <formula>NOT(ISERROR(SEARCH("MISSING MARK",O38)))</formula>
    </cfRule>
  </conditionalFormatting>
  <conditionalFormatting sqref="P38">
    <cfRule type="containsText" dxfId="86" priority="2087" operator="containsText" text="INVALID MARK">
      <formula>NOT(ISERROR(SEARCH("INVALID MARK",P38)))</formula>
    </cfRule>
    <cfRule type="containsText" dxfId="85" priority="2088" operator="containsText" text="INVALID ENTRY">
      <formula>NOT(ISERROR(SEARCH("INVALID ENTRY",P38)))</formula>
    </cfRule>
    <cfRule type="containsText" dxfId="84" priority="2089" operator="containsText" text="MISSING MARK">
      <formula>NOT(ISERROR(SEARCH("MISSING MARK",P38)))</formula>
    </cfRule>
  </conditionalFormatting>
  <conditionalFormatting sqref="Q38">
    <cfRule type="containsText" dxfId="83" priority="2084" operator="containsText" text="INVALID MARK">
      <formula>NOT(ISERROR(SEARCH("INVALID MARK",Q38)))</formula>
    </cfRule>
    <cfRule type="containsText" dxfId="82" priority="2085" operator="containsText" text="INVALID ENTRY">
      <formula>NOT(ISERROR(SEARCH("INVALID ENTRY",Q38)))</formula>
    </cfRule>
    <cfRule type="containsText" dxfId="81" priority="2086" operator="containsText" text="MISSING MARK">
      <formula>NOT(ISERROR(SEARCH("MISSING MARK",Q38)))</formula>
    </cfRule>
  </conditionalFormatting>
  <conditionalFormatting sqref="K28:K38">
    <cfRule type="containsText" dxfId="80" priority="952" operator="containsText" text="INVALID ENTRY">
      <formula>NOT(ISERROR(SEARCH("INVALID ENTRY",K28)))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29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>
      <selection activeCell="I7" sqref="I7:I17"/>
    </sheetView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74</v>
      </c>
      <c r="G3" s="4">
        <v>0</v>
      </c>
    </row>
    <row r="4" spans="3:126" ht="123.75" customHeight="1" thickBot="1" x14ac:dyDescent="0.3">
      <c r="C4" s="21"/>
      <c r="F4" s="125" t="s">
        <v>75</v>
      </c>
      <c r="G4" s="125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" si="1">IF(K7/K$6-J7&gt;=0, K7/K$6-J7, 0)</f>
        <v>0.4</v>
      </c>
      <c r="I7" s="20">
        <f>IF(ISOVERMAX(L7:U7)=1,"INVALID MARK",IF(ISOVERMAX(L7:U7)=2,"INVALID ENTRY",IF(COUNT(L7:U7)&lt;COUNT(L$6:U$6),"MISSING MARK",(H7-J7)*K$6)))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ref="H8:H10" si="4">IF(K8/K$6-J8&gt;=0, K8/K$6-J8, 0)</f>
        <v>0.8</v>
      </c>
      <c r="I8" s="20">
        <f>IF(ISOVERMAX(L8:U8)=1,"INVALID MARK",IF(ISOVERMAX(L8:U8)=2,"INVALID ENTRY",IF(COUNT(L8:U8)&lt;COUNT(L$6:U$6),"MISSING MARK",(H8-J8)*K$6)))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4"/>
        <v>0.4</v>
      </c>
      <c r="I9" s="20">
        <f>IF(ISOVERMAX(L9:U9)=1,"INVALID MARK",IF(ISOVERMAX(L9:U9)=2,"INVALID ENTRY",IF(COUNT(L9:U9)&lt;COUNT(L$6:U$6),"MISSING MARK",(H9-J9)*K$6)))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4"/>
        <v>0.5</v>
      </c>
      <c r="I10" s="20">
        <f>IF(ISOVERMAX(L10:U10)=1,"INVALID MARK",IF(ISOVERMAX(L10:U10)=2,"INVALID ENTRY",IF(COUNT(L10:U10)&lt;COUNT(L$6:U$6),"MISSING MARK",(H10-J10)*K$6)))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7">IF(K11/K$6-J11&gt;=0, K11/K$6-J11, 0)</f>
        <v>0.6</v>
      </c>
      <c r="I11" s="20">
        <f>IF(ISOVERMAX(L11:U11)=1,"INVALID MARK",IF(ISOVERMAX(L11:U11)=2,"INVALID ENTRY",IF(COUNT(L11:U11)&lt;COUNT(L$6:U$6),"MISSING MARK",(H11-J11)*K$6)))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7"/>
        <v>0.35000000000000003</v>
      </c>
      <c r="I12" s="20">
        <f>IF(ISOVERMAX(L12:U12)=1,"INVALID MARK",IF(ISOVERMAX(L12:U12)=2,"INVALID ENTRY",IF(COUNT(L12:U12)&lt;COUNT(L$6:U$6),"MISSING MARK",(H12-J12)*K$6)))</f>
        <v>3.0000000000000004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7"/>
        <v>0.6</v>
      </c>
      <c r="I13" s="20">
        <f>IF(ISOVERMAX(L13:U13)=1,"INVALID MARK",IF(ISOVERMAX(L13:U13)=2,"INVALID ENTRY",IF(COUNT(L13:U13)&lt;COUNT(L$6:U$6),"MISSING MARK",(H13-J13)*K$6)))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7"/>
        <v>5.6</v>
      </c>
      <c r="I14" s="20" t="str">
        <f>IF(ISOVERMAX(L14:U14)=1,"INVALID MARK",IF(ISOVERMAX(L14:U14)=2,"INVALID ENTRY",IF(COUNT(L14:U14)&lt;COUNT(L$6:U$6),"MISSING MARK",(H14-J14)*K$6)))</f>
        <v>INVALID MARK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7"/>
        <v>0.9</v>
      </c>
      <c r="I15" s="20">
        <f>IF(ISOVERMAX(L15:U15)=1,"INVALID MARK",IF(ISOVERMAX(L15:U15)=2,"INVALID ENTRY",IF(COUNT(L15:U15)&lt;COUNT(L$6:U$6),"MISSING MARK",(H15-J15)*K$6)))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10">IF(K16/K$6-J16&gt;=0, K16/K$6-J16, 0)</f>
        <v>1</v>
      </c>
      <c r="I16" s="20">
        <f>IF(ISOVERMAX(L16:U16)=1,"INVALID MARK",IF(ISOVERMAX(L16:U16)=2,"INVALID ENTRY",IF(COUNT(L16:U16)&lt;COUNT(L$6:U$6),"MISSING MARK",(H16-J16)*K$6)))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2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3">IF(K17/K$6-J17&gt;=0, K17/K$6-J17, 0)</f>
        <v>0.7</v>
      </c>
      <c r="I17" s="20">
        <f>IF(ISOVERMAX(L17:U17)=1,"INVALID MARK",IF(ISOVERMAX(L17:U17)=2,"INVALID ENTRY",IF(COUNT(L17:U17)&lt;COUNT(L$6:U$6),"MISSING MARK",(H17-J17)*K$6)))</f>
        <v>7</v>
      </c>
      <c r="J17" s="28">
        <v>0</v>
      </c>
      <c r="K17" s="24">
        <f t="shared" ref="K17" si="14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79" priority="431" operator="containsText" text="INVALID MARK">
      <formula>NOT(ISERROR(SEARCH("INVALID MARK",I7)))</formula>
    </cfRule>
    <cfRule type="containsText" dxfId="78" priority="432" operator="containsText" text="INVALID ENTRY">
      <formula>NOT(ISERROR(SEARCH("INVALID ENTRY",I7)))</formula>
    </cfRule>
    <cfRule type="containsText" dxfId="77" priority="433" operator="containsText" text="MISSING MARK">
      <formula>NOT(ISERROR(SEARCH("MISSING MARK",I7)))</formula>
    </cfRule>
  </conditionalFormatting>
  <conditionalFormatting sqref="D7">
    <cfRule type="containsText" dxfId="76" priority="261" operator="containsText" text="FAIL">
      <formula>NOT(ISERROR(SEARCH("FAIL",D7)))</formula>
    </cfRule>
    <cfRule type="containsText" dxfId="75" priority="262" operator="containsText" text="PASS">
      <formula>NOT(ISERROR(SEARCH("PASS",D7)))</formula>
    </cfRule>
  </conditionalFormatting>
  <conditionalFormatting sqref="D8:D10">
    <cfRule type="containsText" dxfId="74" priority="246" operator="containsText" text="FAIL">
      <formula>NOT(ISERROR(SEARCH("FAIL",D8)))</formula>
    </cfRule>
    <cfRule type="containsText" dxfId="73" priority="247" operator="containsText" text="PASS">
      <formula>NOT(ISERROR(SEARCH("PASS",D8)))</formula>
    </cfRule>
  </conditionalFormatting>
  <conditionalFormatting sqref="D11:D15">
    <cfRule type="containsText" dxfId="72" priority="241" operator="containsText" text="FAIL">
      <formula>NOT(ISERROR(SEARCH("FAIL",D11)))</formula>
    </cfRule>
    <cfRule type="containsText" dxfId="71" priority="242" operator="containsText" text="PASS">
      <formula>NOT(ISERROR(SEARCH("PASS",D11)))</formula>
    </cfRule>
  </conditionalFormatting>
  <conditionalFormatting sqref="D16">
    <cfRule type="containsText" dxfId="70" priority="236" operator="containsText" text="FAIL">
      <formula>NOT(ISERROR(SEARCH("FAIL",D16)))</formula>
    </cfRule>
    <cfRule type="containsText" dxfId="69" priority="237" operator="containsText" text="PASS">
      <formula>NOT(ISERROR(SEARCH("PASS",D16)))</formula>
    </cfRule>
  </conditionalFormatting>
  <conditionalFormatting sqref="D17">
    <cfRule type="containsText" dxfId="68" priority="216" operator="containsText" text="FAIL">
      <formula>NOT(ISERROR(SEARCH("FAIL",D17)))</formula>
    </cfRule>
    <cfRule type="containsText" dxfId="67" priority="217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79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0.68333333333333335</v>
      </c>
      <c r="I7" s="20">
        <f>IF(ISOVERMAX(L7:U7)=1,"INVALID MARK",IF(ISOVERMAX(L7:U7)=2,"INVALID ENTRY",IF(COUNT(L7:U7)&lt;COUNT(L$6:U$6),"MISSING MARK",(H7-J7)*K$6)))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0.85</v>
      </c>
      <c r="I8" s="20">
        <f>IF(ISOVERMAX(L8:U8)=1,"INVALID MARK",IF(ISOVERMAX(L8:U8)=2,"INVALID ENTRY",IF(COUNT(L8:U8)&lt;COUNT(L$6:U$6),"MISSING MARK",(H8-J8)*K$6)))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0.35000000000000003</v>
      </c>
      <c r="I9" s="20">
        <f>IF(ISOVERMAX(L9:U9)=1,"INVALID MARK",IF(ISOVERMAX(L9:U9)=2,"INVALID ENTRY",IF(COUNT(L9:U9)&lt;COUNT(L$6:U$6),"MISSING MARK",(H9-J9)*K$6)))</f>
        <v>9.0000000000000018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0.51666666666666661</v>
      </c>
      <c r="I10" s="20">
        <f>IF(ISOVERMAX(L10:U10)=1,"INVALID MARK",IF(ISOVERMAX(L10:U10)=2,"INVALID ENTRY",IF(COUNT(L10:U10)&lt;COUNT(L$6:U$6),"MISSING MARK",(H10-J10)*K$6)))</f>
        <v>13.999999999999998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5">IF(K11/K$6-J11&gt;=0, K11/K$6-J11, 0)</f>
        <v>0.54999999999999993</v>
      </c>
      <c r="I11" s="20">
        <f>IF(ISOVERMAX(L11:U11)=1,"INVALID MARK",IF(ISOVERMAX(L11:U11)=2,"INVALID ENTRY",IF(COUNT(L11:U11)&lt;COUNT(L$6:U$6),"MISSING MARK",(H11-J11)*K$6)))</f>
        <v>14.999999999999998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5"/>
        <v>0.31666666666666665</v>
      </c>
      <c r="I12" s="20">
        <f>IF(ISOVERMAX(L12:U12)=1,"INVALID MARK",IF(ISOVERMAX(L12:U12)=2,"INVALID ENTRY",IF(COUNT(L12:U12)&lt;COUNT(L$6:U$6),"MISSING MARK",(H12-J12)*K$6)))</f>
        <v>8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5"/>
        <v>0.3666666666666667</v>
      </c>
      <c r="I13" s="20" t="str">
        <f>IF(ISOVERMAX(L13:U13)=1,"INVALID MARK",IF(ISOVERMAX(L13:U13)=2,"INVALID ENTRY",IF(COUNT(L13:U13)&lt;COUNT(L$6:U$6),"MISSING MARK",(H13-J13)*K$6)))</f>
        <v>INVALID ENTRY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0.56666666666666665</v>
      </c>
      <c r="I14" s="20">
        <f>IF(ISOVERMAX(L14:U14)=1,"INVALID MARK",IF(ISOVERMAX(L14:U14)=2,"INVALID ENTRY",IF(COUNT(L14:U14)&lt;COUNT(L$6:U$6),"MISSING MARK",(H14-J14)*K$6)))</f>
        <v>15.499999999999998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0.41666666666666669</v>
      </c>
      <c r="I15" s="20">
        <f>IF(ISOVERMAX(L15:U15)=1,"INVALID MARK",IF(ISOVERMAX(L15:U15)=2,"INVALID ENTRY",IF(COUNT(L15:U15)&lt;COUNT(L$6:U$6),"MISSING MARK",(H15-J15)*K$6)))</f>
        <v>11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8">IF(K16/K$6-J16&gt;=0, K16/K$6-J16, 0)</f>
        <v>0.64999999999999991</v>
      </c>
      <c r="I16" s="20">
        <f>IF(ISOVERMAX(L16:U16)=1,"INVALID MARK",IF(ISOVERMAX(L16:U16)=2,"INVALID ENTRY",IF(COUNT(L16:U16)&lt;COUNT(L$6:U$6),"MISSING MARK",(H16-J16)*K$6)))</f>
        <v>17.999999999999996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1">IF(K17/K$6-J17&gt;=0, K17/K$6-J17, 0)</f>
        <v>0.61666666666666659</v>
      </c>
      <c r="I17" s="20">
        <f>IF(ISOVERMAX(L17:U17)=1,"INVALID MARK",IF(ISOVERMAX(L17:U17)=2,"INVALID ENTRY",IF(COUNT(L17:U17)&lt;COUNT(L$6:U$6),"MISSING MARK",(H17-J17)*K$6)))</f>
        <v>16.999999999999996</v>
      </c>
      <c r="J17" s="28">
        <v>0.05</v>
      </c>
      <c r="K17" s="24">
        <f t="shared" ref="K17" si="12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</sheetData>
  <mergeCells count="1">
    <mergeCell ref="F4:G4"/>
  </mergeCells>
  <conditionalFormatting sqref="I7:I17">
    <cfRule type="containsText" dxfId="66" priority="253" operator="containsText" text="INVALID MARK">
      <formula>NOT(ISERROR(SEARCH("INVALID MARK",I7)))</formula>
    </cfRule>
    <cfRule type="containsText" dxfId="65" priority="254" operator="containsText" text="INVALID ENTRY">
      <formula>NOT(ISERROR(SEARCH("INVALID ENTRY",I7)))</formula>
    </cfRule>
    <cfRule type="containsText" dxfId="64" priority="255" operator="containsText" text="MISSING MARK">
      <formula>NOT(ISERROR(SEARCH("MISSING MARK",I7)))</formula>
    </cfRule>
  </conditionalFormatting>
  <conditionalFormatting sqref="D7">
    <cfRule type="containsText" dxfId="63" priority="251" operator="containsText" text="FAIL">
      <formula>NOT(ISERROR(SEARCH("FAIL",D7)))</formula>
    </cfRule>
    <cfRule type="containsText" dxfId="62" priority="252" operator="containsText" text="PASS">
      <formula>NOT(ISERROR(SEARCH("PASS",D7)))</formula>
    </cfRule>
  </conditionalFormatting>
  <conditionalFormatting sqref="D8:D10">
    <cfRule type="containsText" dxfId="61" priority="246" operator="containsText" text="FAIL">
      <formula>NOT(ISERROR(SEARCH("FAIL",D8)))</formula>
    </cfRule>
    <cfRule type="containsText" dxfId="60" priority="247" operator="containsText" text="PASS">
      <formula>NOT(ISERROR(SEARCH("PASS",D8)))</formula>
    </cfRule>
  </conditionalFormatting>
  <conditionalFormatting sqref="D11:D15">
    <cfRule type="containsText" dxfId="59" priority="241" operator="containsText" text="FAIL">
      <formula>NOT(ISERROR(SEARCH("FAIL",D11)))</formula>
    </cfRule>
    <cfRule type="containsText" dxfId="58" priority="242" operator="containsText" text="PASS">
      <formula>NOT(ISERROR(SEARCH("PASS",D11)))</formula>
    </cfRule>
  </conditionalFormatting>
  <conditionalFormatting sqref="D16">
    <cfRule type="containsText" dxfId="57" priority="236" operator="containsText" text="FAIL">
      <formula>NOT(ISERROR(SEARCH("FAIL",D16)))</formula>
    </cfRule>
    <cfRule type="containsText" dxfId="56" priority="237" operator="containsText" text="PASS">
      <formula>NOT(ISERROR(SEARCH("PASS",D16)))</formula>
    </cfRule>
  </conditionalFormatting>
  <conditionalFormatting sqref="D17">
    <cfRule type="containsText" dxfId="55" priority="216" operator="containsText" text="FAIL">
      <formula>NOT(ISERROR(SEARCH("FAIL",D17)))</formula>
    </cfRule>
    <cfRule type="containsText" dxfId="54" priority="21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79"/>
  <sheetViews>
    <sheetView workbookViewId="0">
      <selection activeCell="K23" sqref="K23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0.8</v>
      </c>
      <c r="I7" s="20">
        <f>IF(ISOVERMAX(L7:U7)=1,"INVALID MARK",IF(ISOVERMAX(L7:U7)=2,"INVALID ENTRY",IF(COUNT(L7:U7)&lt;COUNT(L$6:U$6),"MISSING MARK",(H7-J7)*K$6)))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0.95</v>
      </c>
      <c r="I8" s="20">
        <f>IF(ISOVERMAX(L8:U8)=1,"INVALID MARK",IF(ISOVERMAX(L8:U8)=2,"INVALID ENTRY",IF(COUNT(L8:U8)&lt;COUNT(L$6:U$6),"MISSING MARK",(H8-J8)*K$6)))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0.55000000000000004</v>
      </c>
      <c r="I10" s="20">
        <f>IF(ISOVERMAX(L10:U10)=1,"INVALID MARK",IF(ISOVERMAX(L10:U10)=2,"INVALID ENTRY",IF(COUNT(L10:U10)&lt;COUNT(L$6:U$6),"MISSING MARK",(H10-J10)*K$6)))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5">IF(K11/K$6-J11&gt;=0, K11/K$6-J11, 0)</f>
        <v>0.95</v>
      </c>
      <c r="I11" s="20">
        <f>IF(ISOVERMAX(L11:U11)=1,"INVALID MARK",IF(ISOVERMAX(L11:U11)=2,"INVALID ENTRY",IF(COUNT(L11:U11)&lt;COUNT(L$6:U$6),"MISSING MARK",(H11-J11)*K$6)))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5"/>
        <v>0.55000000000000004</v>
      </c>
      <c r="I12" s="20">
        <f>IF(ISOVERMAX(L12:U12)=1,"INVALID MARK",IF(ISOVERMAX(L12:U12)=2,"INVALID ENTRY",IF(COUNT(L12:U12)&lt;COUNT(L$6:U$6),"MISSING MARK",(H12-J12)*K$6)))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5"/>
        <v>0.6</v>
      </c>
      <c r="I13" s="20">
        <f>IF(ISOVERMAX(L13:U13)=1,"INVALID MARK",IF(ISOVERMAX(L13:U13)=2,"INVALID ENTRY",IF(COUNT(L13:U13)&lt;COUNT(L$6:U$6),"MISSING MARK",(H13-J13)*K$6)))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0.65</v>
      </c>
      <c r="I14" s="20">
        <f>IF(ISOVERMAX(L14:U14)=1,"INVALID MARK",IF(ISOVERMAX(L14:U14)=2,"INVALID ENTRY",IF(COUNT(L14:U14)&lt;COUNT(L$6:U$6),"MISSING MARK",(H14-J14)*K$6)))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0.65</v>
      </c>
      <c r="I15" s="20" t="str">
        <f>IF(ISOVERMAX(L15:U15)=1,"INVALID MARK",IF(ISOVERMAX(L15:U15)=2,"INVALID ENTRY",IF(COUNT(L15:U15)&lt;COUNT(L$6:U$6),"MISSING MARK",(H15-J15)*K$6)))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8">IF(K16/K$6-J16&gt;=0, K16/K$6-J16, 0)</f>
        <v>0.625</v>
      </c>
      <c r="I16" s="20">
        <f>IF(ISOVERMAX(L16:U16)=1,"INVALID MARK",IF(ISOVERMAX(L16:U16)=2,"INVALID ENTRY",IF(COUNT(L16:U16)&lt;COUNT(L$6:U$6),"MISSING MARK",(H16-J16)*K$6)))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1">IF(K17/K$6-J17&gt;=0, K17/K$6-J17, 0)</f>
        <v>1.05</v>
      </c>
      <c r="I17" s="20" t="str">
        <f>IF(ISOVERMAX(L17:U17)=1,"INVALID MARK",IF(ISOVERMAX(L17:U17)=2,"INVALID ENTRY",IF(COUNT(L17:U17)&lt;COUNT(L$6:U$6),"MISSING MARK",(H17-J17)*K$6)))</f>
        <v>INVALID MARK</v>
      </c>
      <c r="J17" s="28">
        <v>0</v>
      </c>
      <c r="K17" s="24">
        <f t="shared" ref="K17" si="12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</sheetData>
  <mergeCells count="1">
    <mergeCell ref="F4:G4"/>
  </mergeCells>
  <conditionalFormatting sqref="I7:I17">
    <cfRule type="containsText" dxfId="53" priority="253" operator="containsText" text="INVALID MARK">
      <formula>NOT(ISERROR(SEARCH("INVALID MARK",I7)))</formula>
    </cfRule>
    <cfRule type="containsText" dxfId="52" priority="254" operator="containsText" text="INVALID ENTRY">
      <formula>NOT(ISERROR(SEARCH("INVALID ENTRY",I7)))</formula>
    </cfRule>
    <cfRule type="containsText" dxfId="51" priority="255" operator="containsText" text="MISSING MARK">
      <formula>NOT(ISERROR(SEARCH("MISSING MARK",I7)))</formula>
    </cfRule>
  </conditionalFormatting>
  <conditionalFormatting sqref="D7">
    <cfRule type="containsText" dxfId="50" priority="251" operator="containsText" text="FAIL">
      <formula>NOT(ISERROR(SEARCH("FAIL",D7)))</formula>
    </cfRule>
    <cfRule type="containsText" dxfId="49" priority="252" operator="containsText" text="PASS">
      <formula>NOT(ISERROR(SEARCH("PASS",D7)))</formula>
    </cfRule>
  </conditionalFormatting>
  <conditionalFormatting sqref="D8:D10">
    <cfRule type="containsText" dxfId="48" priority="246" operator="containsText" text="FAIL">
      <formula>NOT(ISERROR(SEARCH("FAIL",D8)))</formula>
    </cfRule>
    <cfRule type="containsText" dxfId="47" priority="247" operator="containsText" text="PASS">
      <formula>NOT(ISERROR(SEARCH("PASS",D8)))</formula>
    </cfRule>
  </conditionalFormatting>
  <conditionalFormatting sqref="D11:D15">
    <cfRule type="containsText" dxfId="46" priority="241" operator="containsText" text="FAIL">
      <formula>NOT(ISERROR(SEARCH("FAIL",D11)))</formula>
    </cfRule>
    <cfRule type="containsText" dxfId="45" priority="242" operator="containsText" text="PASS">
      <formula>NOT(ISERROR(SEARCH("PASS",D11)))</formula>
    </cfRule>
  </conditionalFormatting>
  <conditionalFormatting sqref="D16">
    <cfRule type="containsText" dxfId="44" priority="236" operator="containsText" text="FAIL">
      <formula>NOT(ISERROR(SEARCH("FAIL",D16)))</formula>
    </cfRule>
    <cfRule type="containsText" dxfId="43" priority="237" operator="containsText" text="PASS">
      <formula>NOT(ISERROR(SEARCH("PASS",D16)))</formula>
    </cfRule>
  </conditionalFormatting>
  <conditionalFormatting sqref="D17">
    <cfRule type="containsText" dxfId="42" priority="216" operator="containsText" text="FAIL">
      <formula>NOT(ISERROR(SEARCH("FAIL",D17)))</formula>
    </cfRule>
    <cfRule type="containsText" dxfId="41" priority="21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79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0.66</v>
      </c>
      <c r="I7" s="20">
        <f>IF(ISOVERMAX(L7:U7)=1,"INVALID MARK",IF(ISOVERMAX(L7:U7)=2,"INVALID ENTRY",IF(COUNT(L7:U7)&lt;COUNT(L$6:U$6),"MISSING MARK",(H7-J7)*K$6)))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0.92</v>
      </c>
      <c r="I8" s="20">
        <f>IF(ISOVERMAX(L8:U8)=1,"INVALID MARK",IF(ISOVERMAX(L8:U8)=2,"INVALID ENTRY",IF(COUNT(L8:U8)&lt;COUNT(L$6:U$6),"MISSING MARK",(H8-J8)*K$6)))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0.32</v>
      </c>
      <c r="I9" s="20">
        <f>IF(ISOVERMAX(L9:U9)=1,"INVALID MARK",IF(ISOVERMAX(L9:U9)=2,"INVALID ENTRY",IF(COUNT(L9:U9)&lt;COUNT(L$6:U$6),"MISSING MARK",(H9-J9)*K$6)))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0.6</v>
      </c>
      <c r="I10" s="20">
        <f>IF(ISOVERMAX(L10:U10)=1,"INVALID MARK",IF(ISOVERMAX(L10:U10)=2,"INVALID ENTRY",IF(COUNT(L10:U10)&lt;COUNT(L$6:U$6),"MISSING MARK",(H10-J10)*K$6)))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5">IF(K11/K$6-J11&gt;=0, K11/K$6-J11, 0)</f>
        <v>0.7</v>
      </c>
      <c r="I11" s="20">
        <f>IF(ISOVERMAX(L11:U11)=1,"INVALID MARK",IF(ISOVERMAX(L11:U11)=2,"INVALID ENTRY",IF(COUNT(L11:U11)&lt;COUNT(L$6:U$6),"MISSING MARK",(H11-J11)*K$6)))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5"/>
        <v>0.34</v>
      </c>
      <c r="I12" s="20">
        <f>IF(ISOVERMAX(L12:U12)=1,"INVALID MARK",IF(ISOVERMAX(L12:U12)=2,"INVALID ENTRY",IF(COUNT(L12:U12)&lt;COUNT(L$6:U$6),"MISSING MARK",(H12-J12)*K$6)))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5"/>
        <v>0.94</v>
      </c>
      <c r="I13" s="20">
        <f>IF(ISOVERMAX(L13:U13)=1,"INVALID MARK",IF(ISOVERMAX(L13:U13)=2,"INVALID ENTRY",IF(COUNT(L13:U13)&lt;COUNT(L$6:U$6),"MISSING MARK",(H13-J13)*K$6)))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0.62</v>
      </c>
      <c r="I14" s="20">
        <f>IF(ISOVERMAX(L14:U14)=1,"INVALID MARK",IF(ISOVERMAX(L14:U14)=2,"INVALID ENTRY",IF(COUNT(L14:U14)&lt;COUNT(L$6:U$6),"MISSING MARK",(H14-J14)*K$6)))</f>
        <v>26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0.9</v>
      </c>
      <c r="I15" s="20">
        <f>IF(ISOVERMAX(L15:U15)=1,"INVALID MARK",IF(ISOVERMAX(L15:U15)=2,"INVALID ENTRY",IF(COUNT(L15:U15)&lt;COUNT(L$6:U$6),"MISSING MARK",(H15-J15)*K$6)))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8">IF(K16/K$6-J16&gt;=0, K16/K$6-J16, 0)</f>
        <v>0.72</v>
      </c>
      <c r="I16" s="20">
        <f>IF(ISOVERMAX(L16:U16)=1,"INVALID MARK",IF(ISOVERMAX(L16:U16)=2,"INVALID ENTRY",IF(COUNT(L16:U16)&lt;COUNT(L$6:U$6),"MISSING MARK",(H16-J16)*K$6)))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1">IF(K17/K$6-J17&gt;=0, K17/K$6-J17, 0)</f>
        <v>0.78</v>
      </c>
      <c r="I17" s="20">
        <f>IF(ISOVERMAX(L17:U17)=1,"INVALID MARK",IF(ISOVERMAX(L17:U17)=2,"INVALID ENTRY",IF(COUNT(L17:U17)&lt;COUNT(L$6:U$6),"MISSING MARK",(H17-J17)*K$6)))</f>
        <v>39</v>
      </c>
      <c r="J17" s="28">
        <v>0</v>
      </c>
      <c r="K17" s="24">
        <f t="shared" ref="K17" si="12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</sheetData>
  <mergeCells count="1">
    <mergeCell ref="F4:G4"/>
  </mergeCells>
  <conditionalFormatting sqref="I7:I17">
    <cfRule type="containsText" dxfId="40" priority="253" operator="containsText" text="INVALID MARK">
      <formula>NOT(ISERROR(SEARCH("INVALID MARK",I7)))</formula>
    </cfRule>
    <cfRule type="containsText" dxfId="39" priority="254" operator="containsText" text="INVALID ENTRY">
      <formula>NOT(ISERROR(SEARCH("INVALID ENTRY",I7)))</formula>
    </cfRule>
    <cfRule type="containsText" dxfId="38" priority="255" operator="containsText" text="MISSING MARK">
      <formula>NOT(ISERROR(SEARCH("MISSING MARK",I7)))</formula>
    </cfRule>
  </conditionalFormatting>
  <conditionalFormatting sqref="D7">
    <cfRule type="containsText" dxfId="37" priority="251" operator="containsText" text="FAIL">
      <formula>NOT(ISERROR(SEARCH("FAIL",D7)))</formula>
    </cfRule>
    <cfRule type="containsText" dxfId="36" priority="252" operator="containsText" text="PASS">
      <formula>NOT(ISERROR(SEARCH("PASS",D7)))</formula>
    </cfRule>
  </conditionalFormatting>
  <conditionalFormatting sqref="D8:D10">
    <cfRule type="containsText" dxfId="35" priority="246" operator="containsText" text="FAIL">
      <formula>NOT(ISERROR(SEARCH("FAIL",D8)))</formula>
    </cfRule>
    <cfRule type="containsText" dxfId="34" priority="247" operator="containsText" text="PASS">
      <formula>NOT(ISERROR(SEARCH("PASS",D8)))</formula>
    </cfRule>
  </conditionalFormatting>
  <conditionalFormatting sqref="D11:D15">
    <cfRule type="containsText" dxfId="33" priority="241" operator="containsText" text="FAIL">
      <formula>NOT(ISERROR(SEARCH("FAIL",D11)))</formula>
    </cfRule>
    <cfRule type="containsText" dxfId="32" priority="242" operator="containsText" text="PASS">
      <formula>NOT(ISERROR(SEARCH("PASS",D11)))</formula>
    </cfRule>
  </conditionalFormatting>
  <conditionalFormatting sqref="D16">
    <cfRule type="containsText" dxfId="31" priority="236" operator="containsText" text="FAIL">
      <formula>NOT(ISERROR(SEARCH("FAIL",D16)))</formula>
    </cfRule>
    <cfRule type="containsText" dxfId="30" priority="237" operator="containsText" text="PASS">
      <formula>NOT(ISERROR(SEARCH("PASS",D16)))</formula>
    </cfRule>
  </conditionalFormatting>
  <conditionalFormatting sqref="D17">
    <cfRule type="containsText" dxfId="29" priority="216" operator="containsText" text="FAIL">
      <formula>NOT(ISERROR(SEARCH("FAIL",D17)))</formula>
    </cfRule>
    <cfRule type="containsText" dxfId="28" priority="21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>
      <selection activeCell="I7" sqref="I7:I17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'Front page - Marks Overview'!D12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5"/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'Front page - Marks Overview'!$D$25</f>
        <v>Student Surname</v>
      </c>
      <c r="F5" s="64" t="str">
        <f>'Front page - Marks Overview'!$E$25</f>
        <v>Student Name</v>
      </c>
      <c r="G5" s="64" t="str">
        <f>'Front page - Marks Overview'!$F$25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1" si="1">IF(K7/K$6-J7&gt;=0, K7/K$6-J7, 0)</f>
        <v>0.72499999999999998</v>
      </c>
      <c r="I7" s="20">
        <f>IF(ISOVERMAX(L7:U7)=1,"INVALID MARK",IF(ISOVERMAX(L7:U7)=2,"INVALID ENTRY",IF(COUNT(L7:U7)&lt;COUNT(L$6:U$6),"MISSING MARK",(H7-J7)*K$6)))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0.87</v>
      </c>
      <c r="I8" s="20">
        <f>IF(ISOVERMAX(L8:U8)=1,"INVALID MARK",IF(ISOVERMAX(L8:U8)=2,"INVALID ENTRY",IF(COUNT(L8:U8)&lt;COUNT(L$6:U$6),"MISSING MARK",(H8-J8)*K$6)))</f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0.53</v>
      </c>
      <c r="I10" s="20">
        <f>IF(ISOVERMAX(L10:U10)=1,"INVALID MARK",IF(ISOVERMAX(L10:U10)=2,"INVALID ENTRY",IF(COUNT(L10:U10)&lt;COUNT(L$6:U$6),"MISSING MARK",(H10-J10)*K$6)))</f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si="1"/>
        <v>0.41</v>
      </c>
      <c r="I11" s="20">
        <f>IF(ISOVERMAX(L11:U11)=1,"INVALID MARK",IF(ISOVERMAX(L11:U11)=2,"INVALID ENTRY",IF(COUNT(L11:U11)&lt;COUNT(L$6:U$6),"MISSING MARK",(H11-J11)*K$6)))</f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>IF(K12/K$6-J12&gt;=0, K12/K$6-J12, 0)</f>
        <v>0.65</v>
      </c>
      <c r="I12" s="20">
        <f>IF(ISOVERMAX(L12:U12)=1,"INVALID MARK",IF(ISOVERMAX(L12:U12)=2,"INVALID ENTRY",IF(COUNT(L12:U12)&lt;COUNT(L$6:U$6),"MISSING MARK",(H12-J12)*K$6)))</f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ref="H13:H16" si="5">IF(K13/K$6-J13&gt;=0, K13/K$6-J13, 0)</f>
        <v>0.57999999999999996</v>
      </c>
      <c r="I13" s="20">
        <f>IF(ISOVERMAX(L13:U13)=1,"INVALID MARK",IF(ISOVERMAX(L13:U13)=2,"INVALID ENTRY",IF(COUNT(L13:U13)&lt;COUNT(L$6:U$6),"MISSING MARK",(H13-J13)*K$6)))</f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0.69</v>
      </c>
      <c r="I14" s="20">
        <f>IF(ISOVERMAX(L14:U14)=1,"INVALID MARK",IF(ISOVERMAX(L14:U14)=2,"INVALID ENTRY",IF(COUNT(L14:U14)&lt;COUNT(L$6:U$6),"MISSING MARK",(H14-J14)*K$6)))</f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0.80500000000000005</v>
      </c>
      <c r="I15" s="20">
        <f>IF(ISOVERMAX(L15:U15)=1,"INVALID MARK",IF(ISOVERMAX(L15:U15)=2,"INVALID ENTRY",IF(COUNT(L15:U15)&lt;COUNT(L$6:U$6),"MISSING MARK",(H15-J15)*K$6)))</f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si="5"/>
        <v>0.77</v>
      </c>
      <c r="I16" s="20">
        <f>IF(ISOVERMAX(L16:U16)=1,"INVALID MARK",IF(ISOVERMAX(L16:U16)=2,"INVALID ENTRY",IF(COUNT(L16:U16)&lt;COUNT(L$6:U$6),"MISSING MARK",(H16-J16)*K$6)))</f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8">IF(K17/K$6-J17&gt;=0, K17/K$6-J17, 0)</f>
        <v>0.69</v>
      </c>
      <c r="I17" s="20">
        <f>IF(ISOVERMAX(L17:U17)=1,"INVALID MARK",IF(ISOVERMAX(L17:U17)=2,"INVALID ENTRY",IF(COUNT(L17:U17)&lt;COUNT(L$6:U$6),"MISSING MARK",(H17-J17)*K$6)))</f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27" priority="540" operator="containsText" text="INVALID MARK">
      <formula>NOT(ISERROR(SEARCH("INVALID MARK",I7)))</formula>
    </cfRule>
    <cfRule type="containsText" dxfId="26" priority="541" operator="containsText" text="INVALID ENTRY">
      <formula>NOT(ISERROR(SEARCH("INVALID ENTRY",I7)))</formula>
    </cfRule>
    <cfRule type="containsText" dxfId="25" priority="542" operator="containsText" text="MISSING MARK">
      <formula>NOT(ISERROR(SEARCH("MISSING MARK",I7)))</formula>
    </cfRule>
  </conditionalFormatting>
  <conditionalFormatting sqref="D7">
    <cfRule type="containsText" dxfId="24" priority="313" operator="containsText" text="FAIL">
      <formula>NOT(ISERROR(SEARCH("FAIL",D7)))</formula>
    </cfRule>
    <cfRule type="containsText" dxfId="23" priority="314" operator="containsText" text="PASS">
      <formula>NOT(ISERROR(SEARCH("PASS",D7)))</formula>
    </cfRule>
  </conditionalFormatting>
  <conditionalFormatting sqref="D8:D10">
    <cfRule type="containsText" dxfId="22" priority="295" operator="containsText" text="FAIL">
      <formula>NOT(ISERROR(SEARCH("FAIL",D8)))</formula>
    </cfRule>
    <cfRule type="containsText" dxfId="21" priority="296" operator="containsText" text="PASS">
      <formula>NOT(ISERROR(SEARCH("PASS",D8)))</formula>
    </cfRule>
  </conditionalFormatting>
  <conditionalFormatting sqref="H7:H16">
    <cfRule type="containsText" dxfId="20" priority="291" operator="containsText" text="INVALID MARK">
      <formula>NOT(ISERROR(SEARCH("INVALID MARK",H7)))</formula>
    </cfRule>
  </conditionalFormatting>
  <conditionalFormatting sqref="D11:D15">
    <cfRule type="containsText" dxfId="19" priority="289" operator="containsText" text="FAIL">
      <formula>NOT(ISERROR(SEARCH("FAIL",D11)))</formula>
    </cfRule>
    <cfRule type="containsText" dxfId="18" priority="290" operator="containsText" text="PASS">
      <formula>NOT(ISERROR(SEARCH("PASS",D11)))</formula>
    </cfRule>
  </conditionalFormatting>
  <conditionalFormatting sqref="D16">
    <cfRule type="containsText" dxfId="17" priority="283" operator="containsText" text="FAIL">
      <formula>NOT(ISERROR(SEARCH("FAIL",D16)))</formula>
    </cfRule>
    <cfRule type="containsText" dxfId="16" priority="284" operator="containsText" text="PASS">
      <formula>NOT(ISERROR(SEARCH("PASS",D16)))</formula>
    </cfRule>
  </conditionalFormatting>
  <conditionalFormatting sqref="H17">
    <cfRule type="containsText" dxfId="15" priority="264" operator="containsText" text="INVALID MARK">
      <formula>NOT(ISERROR(SEARCH("INVALID MARK",H17)))</formula>
    </cfRule>
  </conditionalFormatting>
  <conditionalFormatting sqref="D17">
    <cfRule type="containsText" dxfId="14" priority="259" operator="containsText" text="FAIL">
      <formula>NOT(ISERROR(SEARCH("FAIL",D17)))</formula>
    </cfRule>
    <cfRule type="containsText" dxfId="13" priority="260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Front page - Marks Overview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2020-10-09T07:19:31Z</dcterms:modified>
</cp:coreProperties>
</file>