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M6" i="1" l="1"/>
  <c r="M4" i="1"/>
  <c r="M5" i="1"/>
  <c r="M7" i="1"/>
  <c r="M8" i="1"/>
  <c r="M9" i="1"/>
  <c r="M10" i="1"/>
  <c r="M13" i="1"/>
  <c r="M11" i="1"/>
  <c r="M12" i="1"/>
  <c r="G3" i="52" l="1"/>
  <c r="K6" i="52" l="1"/>
  <c r="K8" i="52" l="1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Q25" i="1" l="1"/>
  <c r="H17" i="55"/>
  <c r="H14" i="58"/>
  <c r="H17" i="58"/>
  <c r="H15" i="56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I13" i="58"/>
  <c r="I10" i="58"/>
  <c r="I16" i="58"/>
  <c r="I9" i="58"/>
  <c r="I12" i="58"/>
  <c r="I8" i="58"/>
  <c r="I15" i="58"/>
  <c r="I11" i="58"/>
  <c r="I7" i="58"/>
  <c r="I14" i="58"/>
  <c r="I13" i="56"/>
  <c r="I9" i="56"/>
  <c r="I16" i="56"/>
  <c r="I14" i="56"/>
  <c r="I8" i="56"/>
  <c r="I10" i="56"/>
  <c r="I7" i="56"/>
  <c r="I11" i="56"/>
  <c r="I12" i="56"/>
  <c r="I15" i="56"/>
  <c r="I17" i="56"/>
  <c r="I13" i="55"/>
  <c r="I12" i="55"/>
  <c r="I15" i="55"/>
  <c r="I14" i="55"/>
  <c r="I8" i="55"/>
  <c r="I7" i="55"/>
  <c r="I9" i="55"/>
  <c r="I16" i="55"/>
  <c r="I10" i="55"/>
  <c r="I11" i="55"/>
  <c r="D15" i="56" l="1"/>
  <c r="D17" i="56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I14" i="54"/>
  <c r="I11" i="54"/>
  <c r="I16" i="54"/>
  <c r="I7" i="54"/>
  <c r="I12" i="54"/>
  <c r="I9" i="54"/>
  <c r="I8" i="54"/>
  <c r="I10" i="54"/>
  <c r="I13" i="54"/>
  <c r="I15" i="54"/>
  <c r="N33" i="1" l="1"/>
  <c r="N29" i="1"/>
  <c r="N30" i="1"/>
  <c r="N32" i="1"/>
  <c r="N34" i="1"/>
  <c r="N31" i="1"/>
  <c r="D14" i="54"/>
  <c r="D16" i="54"/>
  <c r="D17" i="54"/>
  <c r="D7" i="54"/>
  <c r="D15" i="54"/>
  <c r="D13" i="54"/>
  <c r="D12" i="54"/>
  <c r="D11" i="54"/>
  <c r="D10" i="54"/>
  <c r="D8" i="54"/>
  <c r="D9" i="54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I14" i="52"/>
  <c r="I13" i="52"/>
  <c r="I11" i="52"/>
  <c r="I10" i="52"/>
  <c r="I12" i="52"/>
  <c r="I8" i="52"/>
  <c r="I15" i="52"/>
  <c r="I9" i="52"/>
  <c r="I16" i="52"/>
  <c r="I7" i="52"/>
  <c r="K28" i="1" l="1"/>
  <c r="K31" i="1"/>
  <c r="K33" i="1"/>
  <c r="K32" i="1"/>
  <c r="K29" i="1"/>
  <c r="K30" i="1"/>
  <c r="D11" i="52"/>
  <c r="D9" i="52"/>
  <c r="K34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28" i="1"/>
  <c r="M33" i="1" l="1"/>
  <c r="M34" i="1"/>
  <c r="M32" i="1"/>
  <c r="M31" i="1"/>
  <c r="M29" i="1"/>
  <c r="M28" i="1"/>
  <c r="M30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6" i="1"/>
  <c r="O37" i="1" l="1"/>
  <c r="Q37" i="1"/>
  <c r="P37" i="1"/>
  <c r="O36" i="1"/>
  <c r="Q36" i="1"/>
  <c r="P38" i="1"/>
  <c r="O35" i="1"/>
  <c r="P35" i="1"/>
  <c r="Q35" i="1"/>
  <c r="N36" i="1"/>
  <c r="I17" i="55"/>
  <c r="I17" i="54"/>
  <c r="O38" i="1" l="1"/>
  <c r="M36" i="1"/>
  <c r="L36" i="1" s="1"/>
  <c r="N38" i="1"/>
  <c r="I17" i="58"/>
  <c r="Q38" i="1" l="1"/>
  <c r="M38" i="1" s="1"/>
  <c r="N35" i="1"/>
  <c r="M35" i="1" s="1"/>
  <c r="N37" i="1"/>
  <c r="M37" i="1" s="1"/>
  <c r="K36" i="1"/>
  <c r="I17" i="52"/>
  <c r="L37" i="1" l="1"/>
  <c r="L35" i="1"/>
  <c r="L38" i="1"/>
  <c r="J36" i="1"/>
  <c r="H36" i="1" s="1"/>
  <c r="K38" i="1"/>
  <c r="J38" i="1" l="1"/>
  <c r="H38" i="1" s="1"/>
  <c r="G36" i="1"/>
  <c r="K37" i="1"/>
  <c r="G38" i="1" l="1"/>
  <c r="J37" i="1"/>
  <c r="G37" i="1" s="1"/>
  <c r="K35" i="1"/>
  <c r="H37" i="1" l="1"/>
  <c r="J35" i="1"/>
  <c r="M18" i="1" l="1"/>
  <c r="M17" i="1"/>
  <c r="M19" i="1"/>
  <c r="G35" i="1"/>
  <c r="M16" i="1" s="1"/>
  <c r="H35" i="1"/>
  <c r="M14" i="1" l="1"/>
  <c r="M15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<sst xmlns="http://schemas.openxmlformats.org/spreadsheetml/2006/main" count="201" uniqueCount="105">
  <si>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</si>
  <si>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</si>
  <si>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</si>
  <si>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</si>
  <si>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</si>
  <si>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</si>
  <si>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</si>
  <si>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</si>
  <si>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</si>
  <si>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</si>
  <si>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</si>
  <si>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</si>
  <si>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</si>
  <si>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</si>
  <si>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</si>
  <si>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</si>
  <si>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</si>
  <si>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</si>
  <si>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</si>
  <si>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</si>
  <si>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</si>
  <si>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</si>
  <si>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</si>
  <si>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</si>
  <si>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</si>
  <si>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</si>
  <si>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</si>
  <si>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</si>
  <si>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</si>
  <si>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</si>
  <si>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</si>
  <si>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</si>
  <si>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</si>
  <si>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</si>
  <si>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</si>
  <si>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</si>
  <si>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</si>
  <si>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</si>
  <si>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</si>
  <si>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</si>
  <si>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</si>
  <si>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</si>
  <si>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</si>
  <si>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</si>
  <si>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</si>
  <si>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</si>
  <si>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</si>
  <si>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</si>
  <si>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</si>
  <si>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</si>
  <si>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</si>
  <si>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</si>
  <si>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</si>
  <si>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</si>
  <si>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</si>
  <si>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</si>
  <si>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</si>
  <si>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</si>
  <si>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</si>
  <si>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</si>
  <si>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</si>
  <si>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</si>
  <si>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</si>
  <si>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</si>
  <si>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</si>
  <si>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</si>
  <si>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</si>
  <si>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</si>
  <si>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</si>
  <si>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</si>
  <si>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</si>
  <si>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</si>
  <si>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</si>
  <si>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</si>
  <si>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</si>
  <si>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</si>
  <si>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</si>
  <si>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</si>
  <si>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</si>
  <si>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</si>
  <si>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</si>
  <si>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</si>
  <si>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</si>
  <si>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</si>
  <si>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</si>
  <si>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</si>
  <si>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</si>
  <si>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</si>
  <si>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</si>
  <si>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</si>
  <si>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</si>
  <si>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</si>
  <si>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</si>
  <si>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</si>
  <si>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</si>
  <si>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</si>
  <si>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</si>
  <si>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</si>
  <si>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</si>
  <si>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</si>
  <si>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</si>
  <si>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</si>
  <si>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</si>
  <si>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</si>
  <si>
    <t>Some helpful instructions : To rename a test, right click on its tab at the bottom of the screen and click "Rename"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</si>
</sst>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 wrapText="1"/>
    </xf>
    <xf numFmtId="0" fontId="2" fillId="13" borderId="22" xfId="2" applyFont="1" applyFill="1" applyBorder="1" applyAlignment="1">
      <alignment horizontal="center" vertical="center" wrapText="1"/>
    </xf>
    <xf numFmtId="0" fontId="2" fillId="13" borderId="23" xfId="2" applyFont="1" applyFill="1" applyBorder="1" applyAlignment="1">
      <alignment horizontal="center" vertical="center" wrapText="1"/>
    </xf>
    <xf numFmtId="0" fontId="2" fillId="13" borderId="24" xfId="2" applyFont="1" applyFill="1" applyBorder="1" applyAlignment="1">
      <alignment horizontal="center" vertical="center" wrapText="1"/>
    </xf>
    <xf numFmtId="0" fontId="2" fillId="13" borderId="17" xfId="2" applyFont="1" applyFill="1" applyBorder="1" applyAlignment="1">
      <alignment horizontal="center" vertical="center" wrapText="1"/>
    </xf>
    <xf numFmtId="0" fontId="2" fillId="13" borderId="25" xfId="2" applyFont="1" applyFill="1" applyBorder="1" applyAlignment="1">
      <alignment horizontal="center" vertical="center" wrapText="1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42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</dxfs>
  <tableStyles count="0" defaultTableStyle="TableStyleMedium2" defaultPivotStyle="PivotStyleMedium9"/>
  <colors>
    <mruColors>
      <color rgb="FFF4AF52"/>
      <color rgb="FFF49452"/>
      <color rgb="FFF46152"/>
      <color rgb="FFF3EB4B"/>
      <color rgb="FFDFEB4B"/>
      <color rgb="FFDFF34B"/>
      <color rgb="FFEBF34B"/>
      <color rgb="FFABF34B"/>
      <color rgb="FF8DF34B"/>
      <color rgb="FFF7D4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24765</xdr:colOff>
      <xdr:row>14</xdr:row>
      <xdr:rowOff>64489</xdr:rowOff>
    </xdr:from>
    <xdr:to>
      <xdr:col>8</xdr:col>
      <xdr:colOff>552449</xdr:colOff>
      <xdr:row>22</xdr:row>
      <xdr:rowOff>104775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9715" y="2817214"/>
          <a:ext cx="3251834" cy="1573811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zoomScaleNormal="100" workbookViewId="0">
      <selection activeCell="D9" sqref="D9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6" t="s">
        <v>104</v>
      </c>
      <c r="G3" s="117"/>
      <c r="H3" s="117"/>
      <c r="I3" s="118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9"/>
      <c r="G4" s="120"/>
      <c r="H4" s="120"/>
      <c r="I4" s="121"/>
      <c r="J4" s="37"/>
      <c r="K4" s="53" t="s">
        <v>16</v>
      </c>
      <c r="L4" s="48" t="s">
        <v>103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9"/>
      <c r="G5" s="120"/>
      <c r="H5" s="120"/>
      <c r="I5" s="121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9"/>
      <c r="G6" s="120"/>
      <c r="H6" s="120"/>
      <c r="I6" s="121"/>
      <c r="J6" s="37"/>
      <c r="K6" s="55" t="s">
        <v>18</v>
      </c>
      <c r="L6" s="49" t="s">
        <v>33</v>
      </c>
      <c r="M6" s="59">
        <f>COUNTIF(I$28:I$38, "="&amp;L6)</f>
        <v>1</v>
      </c>
    </row>
    <row r="7" spans="3:13" ht="15.75" thickBot="1" x14ac:dyDescent="0.3">
      <c r="C7" s="40" t="s">
        <v>51</v>
      </c>
      <c r="D7" s="90">
        <v>11</v>
      </c>
      <c r="F7" s="113" t="s">
        <v>65</v>
      </c>
      <c r="G7" s="114"/>
      <c r="H7" s="114"/>
      <c r="I7" s="115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10" t="s">
        <v>66</v>
      </c>
      <c r="G8" s="111"/>
      <c r="H8" s="111"/>
      <c r="I8" s="112"/>
      <c r="J8" s="35"/>
      <c r="K8" s="55" t="s">
        <v>20</v>
      </c>
      <c r="L8" s="49" t="s">
        <v>37</v>
      </c>
      <c r="M8" s="59">
        <f>COUNTIF(I$28:I$38, "="&amp;L8)</f>
        <v>2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3</v>
      </c>
    </row>
    <row r="10" spans="3:13" x14ac:dyDescent="0.25">
      <c r="C10" s="38" t="s">
        <v>48</v>
      </c>
      <c r="D10" s="39">
        <v>0.5</v>
      </c>
      <c r="F10" s="122" t="s">
        <v>67</v>
      </c>
      <c r="G10" s="123"/>
      <c r="H10" s="123"/>
      <c r="I10" s="124"/>
      <c r="J10" s="35"/>
      <c r="K10" s="56" t="s">
        <v>22</v>
      </c>
      <c r="L10" s="50" t="s">
        <v>32</v>
      </c>
      <c r="M10" s="59">
        <f>COUNTIF(I$28:I$38, "="&amp;L10)</f>
        <v>0</v>
      </c>
    </row>
    <row r="11" spans="3:13" x14ac:dyDescent="0.25">
      <c r="C11" s="42" t="s">
        <v>46</v>
      </c>
      <c r="D11" s="43">
        <v>0.4</v>
      </c>
      <c r="F11" s="113" t="s">
        <v>68</v>
      </c>
      <c r="G11" s="114"/>
      <c r="H11" s="114"/>
      <c r="I11" s="115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13" t="s">
        <v>70</v>
      </c>
      <c r="G12" s="114"/>
      <c r="H12" s="114"/>
      <c r="I12" s="115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10" t="s">
        <v>69</v>
      </c>
      <c r="G13" s="111"/>
      <c r="H13" s="111"/>
      <c r="I13" s="112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06" t="s">
        <v>28</v>
      </c>
      <c r="L14" s="107"/>
      <c r="M14" s="60">
        <f>COUNTIF(H28:H38, "=FAIL")</f>
        <v>3</v>
      </c>
    </row>
    <row r="15" spans="3:13" x14ac:dyDescent="0.25">
      <c r="J15" s="35"/>
      <c r="K15" s="108" t="s">
        <v>27</v>
      </c>
      <c r="L15" s="109"/>
      <c r="M15" s="59">
        <f>COUNTIF(H28:H38, "=PASS")</f>
        <v>8</v>
      </c>
    </row>
    <row r="16" spans="3:13" x14ac:dyDescent="0.25">
      <c r="J16" s="35"/>
      <c r="K16" s="108" t="s">
        <v>39</v>
      </c>
      <c r="L16" s="109"/>
      <c r="M16" s="59">
        <f>COUNTIF(G28:G38, "=WRITE SUPP")</f>
        <v>2</v>
      </c>
    </row>
    <row r="17" spans="1:17" x14ac:dyDescent="0.25">
      <c r="J17" s="35"/>
      <c r="K17" s="108" t="s">
        <v>40</v>
      </c>
      <c r="L17" s="109"/>
      <c r="M17" s="61">
        <f>MAX(J28:J38)-MIN(J28:J38)</f>
        <v>0.48981818181818176</v>
      </c>
    </row>
    <row r="18" spans="1:17" x14ac:dyDescent="0.25">
      <c r="J18" s="35"/>
      <c r="K18" s="108" t="s">
        <v>41</v>
      </c>
      <c r="L18" s="109"/>
      <c r="M18" s="61">
        <f>AVERAGE(J28:J38)</f>
        <v>0.6249421487603305</v>
      </c>
    </row>
    <row r="19" spans="1:17" ht="15.75" thickBot="1" x14ac:dyDescent="0.3">
      <c r="J19" s="35"/>
      <c r="K19" s="104" t="s">
        <v>42</v>
      </c>
      <c r="L19" s="105"/>
      <c r="M19" s="62">
        <f>STDEV(J28:J38)</f>
        <v>0.12975246154595738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75</v>
      </c>
      <c r="E28" s="96" t="s">
        <v>88</v>
      </c>
      <c r="F28" s="88" t="s">
        <v>77</v>
      </c>
      <c r="G28" s="74" t="str">
        <f t="shared" ref="G28:G38" si="1">IF(AND(K28&gt;=D$13, J28&gt;=D$11), IF(OR(K28&lt;D$12, J28&lt;D$10), "WRITE SUPP", "NO SUPP"), "NO SUPP")</f>
        <v>NO SUPP</v>
      </c>
      <c r="H28" s="74" t="str">
        <f t="shared" ref="H28:H38" si="2">IF(K28&gt;=D$12, IF(J28&gt;=D$10, "PASS", "FAIL"), "FAIL")</f>
        <v>PASS</v>
      </c>
      <c r="I28" s="74" t="str">
        <f>STUDENT_GRADE(J28,K$4:K$13,L$4:L$13)</f>
        <v>B</v>
      </c>
      <c r="J28" s="89">
        <f t="shared" ref="J28:J38" si="3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4"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78</v>
      </c>
      <c r="E29" s="96" t="s">
        <v>76</v>
      </c>
      <c r="F29" s="88" t="s">
        <v>80</v>
      </c>
      <c r="G29" s="74" t="str">
        <f t="shared" si="1"/>
        <v>NO SUPP</v>
      </c>
      <c r="H29" s="74" t="str">
        <f t="shared" si="2"/>
        <v>PASS</v>
      </c>
      <c r="I29" s="74" t="str">
        <f>STUDENT_GRADE(J29,K$4:K$13,L$4:L$13)</f>
        <v>A+</v>
      </c>
      <c r="J29" s="89">
        <f t="shared" si="3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4"/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79</v>
      </c>
      <c r="E30" s="101" t="s">
        <v>83</v>
      </c>
      <c r="F30" s="88" t="s">
        <v>81</v>
      </c>
      <c r="G30" s="74" t="str">
        <f t="shared" si="1"/>
        <v>NO SUPP</v>
      </c>
      <c r="H30" s="74" t="str">
        <f t="shared" si="2"/>
        <v>FAIL</v>
      </c>
      <c r="I30" s="74" t="str">
        <f>STUDENT_GRADE(J30,K$4:K$13,L$4:L$13)</f>
        <v>F</v>
      </c>
      <c r="J30" s="89">
        <f t="shared" si="3"/>
        <v>0.39545454545454545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4"/>
        <v>0.35909090909090907</v>
      </c>
      <c r="M30" s="74">
        <f>SUM(N30:Q30)</f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84</v>
      </c>
      <c r="E31" s="73" t="s">
        <v>85</v>
      </c>
      <c r="F31" s="88" t="s">
        <v>82</v>
      </c>
      <c r="G31" s="74" t="str">
        <f t="shared" si="1"/>
        <v>NO SUPP</v>
      </c>
      <c r="H31" s="74" t="str">
        <f t="shared" si="2"/>
        <v>PASS</v>
      </c>
      <c r="I31" s="74" t="str">
        <f>STUDENT_GRADE(J31,K$4:K$13,L$4:L$13)</f>
        <v>C+</v>
      </c>
      <c r="J31" s="89">
        <f t="shared" si="3"/>
        <v>0.55563636363636371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4"/>
        <v>0.57272727272727275</v>
      </c>
      <c r="M31" s="74">
        <f>SUM(N31:Q31)</f>
        <v>63</v>
      </c>
      <c r="N31" s="75">
        <f>'Test 1'!I10</f>
        <v>5</v>
      </c>
      <c r="O31" s="75">
        <f>'Test 2'!I10</f>
        <v>17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87</v>
      </c>
      <c r="E32" s="73" t="s">
        <v>86</v>
      </c>
      <c r="F32" s="88" t="s">
        <v>89</v>
      </c>
      <c r="G32" s="74" t="str">
        <f>IF(AND(K32&gt;=D$13, J32&gt;=D$11), IF(OR(K32&lt;D$12, J32&lt;D$10), "WRITE SUPP", "NO SUPP"), "NO SUPP")</f>
        <v>WRITE SUPP</v>
      </c>
      <c r="H32" s="74" t="str">
        <f t="shared" si="2"/>
        <v>FAIL</v>
      </c>
      <c r="I32" s="74" t="str">
        <f>STUDENT_GRADE(J32,K$4:K$13,L$4:L$13)</f>
        <v>C+</v>
      </c>
      <c r="J32" s="89">
        <f t="shared" si="3"/>
        <v>0.58945454545454545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4"/>
        <v>0.70909090909090911</v>
      </c>
      <c r="M32" s="74">
        <f>SUM(N32:Q32)</f>
        <v>78</v>
      </c>
      <c r="N32" s="75">
        <f>'Test 1'!I11</f>
        <v>6</v>
      </c>
      <c r="O32" s="75">
        <f>'Test 2'!I11</f>
        <v>18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91</v>
      </c>
      <c r="E33" s="73" t="s">
        <v>90</v>
      </c>
      <c r="F33" s="88" t="s">
        <v>92</v>
      </c>
      <c r="G33" s="74" t="str">
        <f t="shared" si="1"/>
        <v>WRITE SUPP</v>
      </c>
      <c r="H33" s="74" t="str">
        <f t="shared" si="2"/>
        <v>FAIL</v>
      </c>
      <c r="I33" s="74" t="str">
        <f>STUDENT_GRADE(J33,K$4:K$13,L$4:L$13)</f>
        <v>C-</v>
      </c>
      <c r="J33" s="89">
        <f t="shared" si="3"/>
        <v>0.49181818181818182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4"/>
        <v>0.38636363636363635</v>
      </c>
      <c r="M33" s="74">
        <f>SUM(N33:Q33)</f>
        <v>42.5</v>
      </c>
      <c r="N33" s="75">
        <f>'Test 1'!I12</f>
        <v>3.5000000000000004</v>
      </c>
      <c r="O33" s="75">
        <f>'Test 2'!I12</f>
        <v>11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94</v>
      </c>
      <c r="E34" s="73" t="s">
        <v>93</v>
      </c>
      <c r="F34" s="88" t="s">
        <v>96</v>
      </c>
      <c r="G34" s="74" t="str">
        <f t="shared" si="1"/>
        <v>NO SUPP</v>
      </c>
      <c r="H34" s="74" t="str">
        <f t="shared" si="2"/>
        <v>PASS</v>
      </c>
      <c r="I34" s="74" t="str">
        <f>STUDENT_GRADE(J34,K$4:K$13,L$4:L$13)</f>
        <v>C+</v>
      </c>
      <c r="J34" s="89">
        <f t="shared" si="3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4"/>
        <v>0.59090909090909094</v>
      </c>
      <c r="M34" s="74">
        <f>SUM(N34:Q34)</f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94</v>
      </c>
      <c r="E35" s="73" t="s">
        <v>98</v>
      </c>
      <c r="F35" s="88" t="s">
        <v>97</v>
      </c>
      <c r="G35" s="74" t="str">
        <f t="shared" si="1"/>
        <v>NO SUPP</v>
      </c>
      <c r="H35" s="74" t="str">
        <f t="shared" si="2"/>
        <v>PASS</v>
      </c>
      <c r="I35" s="74" t="str">
        <f>STUDENT_GRADE(J35,K$4:K$13,L$4:L$13)</f>
        <v>B-</v>
      </c>
      <c r="J35" s="89">
        <f t="shared" si="3"/>
        <v>0.61690909090909085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4"/>
        <v>0.56818181818181823</v>
      </c>
      <c r="M35" s="74">
        <f>SUM(N35:Q35)</f>
        <v>62.5</v>
      </c>
      <c r="N35" s="75" t="str">
        <f>'Test 1'!I14</f>
        <v>INVALID MARK</v>
      </c>
      <c r="O35" s="75">
        <f>'Test 2'!I14</f>
        <v>18.5</v>
      </c>
      <c r="P35" s="75">
        <f>'Oral Assignment 1'!I14</f>
        <v>13</v>
      </c>
      <c r="Q35" s="75">
        <f>'Test 4'!I14</f>
        <v>31</v>
      </c>
    </row>
    <row r="36" spans="1:17" x14ac:dyDescent="0.25">
      <c r="A36" s="102"/>
      <c r="D36" s="73" t="s">
        <v>94</v>
      </c>
      <c r="E36" s="73" t="s">
        <v>95</v>
      </c>
      <c r="F36" s="88" t="s">
        <v>99</v>
      </c>
      <c r="G36" s="74" t="str">
        <f t="shared" si="1"/>
        <v>NO SUPP</v>
      </c>
      <c r="H36" s="74" t="str">
        <f t="shared" si="2"/>
        <v>PASS</v>
      </c>
      <c r="I36" s="74" t="str">
        <f>STUDENT_GRADE(J36,K$4:K$13,L$4:L$13)</f>
        <v>B</v>
      </c>
      <c r="J36" s="89">
        <f t="shared" si="3"/>
        <v>0.69290909090909092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4"/>
        <v>0.61818181818181817</v>
      </c>
      <c r="M36" s="74">
        <f>SUM(N36:Q36)</f>
        <v>68</v>
      </c>
      <c r="N36" s="75">
        <f>'Test 1'!I15</f>
        <v>9</v>
      </c>
      <c r="O36" s="75">
        <f>'Test 2'!I15</f>
        <v>14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95</v>
      </c>
      <c r="F37" s="88"/>
      <c r="G37" s="74" t="str">
        <f t="shared" si="1"/>
        <v>NO SUPP</v>
      </c>
      <c r="H37" s="74" t="str">
        <f t="shared" si="2"/>
        <v>PASS</v>
      </c>
      <c r="I37" s="74" t="str">
        <f>STUDENT_GRADE(J37,K$4:K$13,L$4:L$13)</f>
        <v>B+</v>
      </c>
      <c r="J37" s="89">
        <f t="shared" si="3"/>
        <v>0.74163636363636365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4"/>
        <v>0.72272727272727277</v>
      </c>
      <c r="M37" s="74">
        <f>SUM(N37:Q37)</f>
        <v>79.5</v>
      </c>
      <c r="N37" s="75">
        <f>'Test 1'!I16</f>
        <v>10</v>
      </c>
      <c r="O37" s="75">
        <f>'Test 2'!I16</f>
        <v>21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101</v>
      </c>
      <c r="E38" s="73" t="s">
        <v>100</v>
      </c>
      <c r="F38" s="88" t="s">
        <v>102</v>
      </c>
      <c r="G38" s="74" t="str">
        <f t="shared" si="1"/>
        <v>NO SUPP</v>
      </c>
      <c r="H38" s="74" t="str">
        <f t="shared" si="2"/>
        <v>PASS</v>
      </c>
      <c r="I38" s="74" t="str">
        <f>STUDENT_GRADE(J38,K$4:K$13,L$4:L$13)</f>
        <v>B-</v>
      </c>
      <c r="J38" s="89">
        <f t="shared" si="3"/>
        <v>0.62781818181818172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4"/>
        <v>0.58636363636363631</v>
      </c>
      <c r="M38" s="74">
        <f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G28">
    <cfRule type="containsText" dxfId="141" priority="8082" operator="containsText" text="WRITE SUPP">
      <formula>NOT(ISERROR(SEARCH("WRITE SUPP",G28)))</formula>
    </cfRule>
  </conditionalFormatting>
  <conditionalFormatting sqref="K28:K38">
    <cfRule type="containsText" dxfId="140" priority="4501" operator="containsText" text="MISSING MARK">
      <formula>NOT(ISERROR(SEARCH("MISSING MARK",K28)))</formula>
    </cfRule>
    <cfRule type="containsText" dxfId="139" priority="8078" operator="containsText" text="INVALID MARK">
      <formula>NOT(ISERROR(SEARCH("INVALID MARK",K28)))</formula>
    </cfRule>
    <cfRule type="cellIs" dxfId="138" priority="8085" operator="lessThan">
      <formula>$D$12</formula>
    </cfRule>
    <cfRule type="cellIs" priority="8086" operator="greaterThanOrEqual">
      <formula>$D$12</formula>
    </cfRule>
    <cfRule type="expression" dxfId="137" priority="8087">
      <formula>"&gt;=$D$10"</formula>
    </cfRule>
  </conditionalFormatting>
  <conditionalFormatting sqref="N28:N38">
    <cfRule type="containsText" dxfId="136" priority="8079" operator="containsText" text="INVALID MARK">
      <formula>NOT(ISERROR(SEARCH("INVALID MARK",N28)))</formula>
    </cfRule>
    <cfRule type="containsText" dxfId="135" priority="8080" operator="containsText" text="INVALID ENTRY">
      <formula>NOT(ISERROR(SEARCH("INVALID ENTRY",N28)))</formula>
    </cfRule>
    <cfRule type="containsText" dxfId="134" priority="8081" operator="containsText" text="MISSING MARK">
      <formula>NOT(ISERROR(SEARCH("MISSING MARK",N28)))</formula>
    </cfRule>
  </conditionalFormatting>
  <conditionalFormatting sqref="H28">
    <cfRule type="containsText" dxfId="133" priority="8077" operator="containsText" text="FAIL">
      <formula>NOT(ISERROR(SEARCH("FAIL",H28)))</formula>
    </cfRule>
  </conditionalFormatting>
  <conditionalFormatting sqref="G29:G31">
    <cfRule type="containsText" dxfId="132" priority="4641" operator="containsText" text="WRITE SUPP">
      <formula>NOT(ISERROR(SEARCH("WRITE SUPP",G29)))</formula>
    </cfRule>
  </conditionalFormatting>
  <conditionalFormatting sqref="J28:J37">
    <cfRule type="cellIs" dxfId="131" priority="4643" operator="lessThan">
      <formula>$D$10</formula>
    </cfRule>
  </conditionalFormatting>
  <conditionalFormatting sqref="H29:H31">
    <cfRule type="containsText" dxfId="130" priority="4636" operator="containsText" text="FAIL">
      <formula>NOT(ISERROR(SEARCH("FAIL",H29)))</formula>
    </cfRule>
  </conditionalFormatting>
  <conditionalFormatting sqref="O28">
    <cfRule type="containsText" dxfId="129" priority="4629" operator="containsText" text="INVALID MARK">
      <formula>NOT(ISERROR(SEARCH("INVALID MARK",O28)))</formula>
    </cfRule>
    <cfRule type="containsText" dxfId="128" priority="4630" operator="containsText" text="INVALID ENTRY">
      <formula>NOT(ISERROR(SEARCH("INVALID ENTRY",O28)))</formula>
    </cfRule>
    <cfRule type="containsText" dxfId="127" priority="4631" operator="containsText" text="MISSING MARK">
      <formula>NOT(ISERROR(SEARCH("MISSING MARK",O28)))</formula>
    </cfRule>
  </conditionalFormatting>
  <conditionalFormatting sqref="O29:O31">
    <cfRule type="containsText" dxfId="126" priority="4626" operator="containsText" text="INVALID MARK">
      <formula>NOT(ISERROR(SEARCH("INVALID MARK",O29)))</formula>
    </cfRule>
    <cfRule type="containsText" dxfId="125" priority="4627" operator="containsText" text="INVALID ENTRY">
      <formula>NOT(ISERROR(SEARCH("INVALID ENTRY",O29)))</formula>
    </cfRule>
    <cfRule type="containsText" dxfId="124" priority="4628" operator="containsText" text="MISSING MARK">
      <formula>NOT(ISERROR(SEARCH("MISSING MARK",O29)))</formula>
    </cfRule>
  </conditionalFormatting>
  <conditionalFormatting sqref="P28">
    <cfRule type="containsText" dxfId="123" priority="4623" operator="containsText" text="INVALID MARK">
      <formula>NOT(ISERROR(SEARCH("INVALID MARK",P28)))</formula>
    </cfRule>
    <cfRule type="containsText" dxfId="122" priority="4624" operator="containsText" text="INVALID ENTRY">
      <formula>NOT(ISERROR(SEARCH("INVALID ENTRY",P28)))</formula>
    </cfRule>
    <cfRule type="containsText" dxfId="121" priority="4625" operator="containsText" text="MISSING MARK">
      <formula>NOT(ISERROR(SEARCH("MISSING MARK",P28)))</formula>
    </cfRule>
  </conditionalFormatting>
  <conditionalFormatting sqref="P29:P31">
    <cfRule type="containsText" dxfId="120" priority="4620" operator="containsText" text="INVALID MARK">
      <formula>NOT(ISERROR(SEARCH("INVALID MARK",P29)))</formula>
    </cfRule>
    <cfRule type="containsText" dxfId="119" priority="4621" operator="containsText" text="INVALID ENTRY">
      <formula>NOT(ISERROR(SEARCH("INVALID ENTRY",P29)))</formula>
    </cfRule>
    <cfRule type="containsText" dxfId="118" priority="4622" operator="containsText" text="MISSING MARK">
      <formula>NOT(ISERROR(SEARCH("MISSING MARK",P29)))</formula>
    </cfRule>
  </conditionalFormatting>
  <conditionalFormatting sqref="Q28">
    <cfRule type="containsText" dxfId="117" priority="4611" operator="containsText" text="INVALID MARK">
      <formula>NOT(ISERROR(SEARCH("INVALID MARK",Q28)))</formula>
    </cfRule>
    <cfRule type="containsText" dxfId="116" priority="4612" operator="containsText" text="INVALID ENTRY">
      <formula>NOT(ISERROR(SEARCH("INVALID ENTRY",Q28)))</formula>
    </cfRule>
    <cfRule type="containsText" dxfId="115" priority="4613" operator="containsText" text="MISSING MARK">
      <formula>NOT(ISERROR(SEARCH("MISSING MARK",Q28)))</formula>
    </cfRule>
  </conditionalFormatting>
  <conditionalFormatting sqref="Q29:Q31">
    <cfRule type="containsText" dxfId="114" priority="4608" operator="containsText" text="INVALID MARK">
      <formula>NOT(ISERROR(SEARCH("INVALID MARK",Q29)))</formula>
    </cfRule>
    <cfRule type="containsText" dxfId="113" priority="4609" operator="containsText" text="INVALID ENTRY">
      <formula>NOT(ISERROR(SEARCH("INVALID ENTRY",Q29)))</formula>
    </cfRule>
    <cfRule type="containsText" dxfId="112" priority="4610" operator="containsText" text="MISSING MARK">
      <formula>NOT(ISERROR(SEARCH("MISSING MARK",Q29)))</formula>
    </cfRule>
  </conditionalFormatting>
  <conditionalFormatting sqref="G32:G36">
    <cfRule type="containsText" dxfId="111" priority="4602" operator="containsText" text="WRITE SUPP">
      <formula>NOT(ISERROR(SEARCH("WRITE SUPP",G32)))</formula>
    </cfRule>
  </conditionalFormatting>
  <conditionalFormatting sqref="H32:H36">
    <cfRule type="containsText" dxfId="110" priority="4597" operator="containsText" text="FAIL">
      <formula>NOT(ISERROR(SEARCH("FAIL",H32)))</formula>
    </cfRule>
  </conditionalFormatting>
  <conditionalFormatting sqref="O32:O36">
    <cfRule type="containsText" dxfId="109" priority="4590" operator="containsText" text="INVALID MARK">
      <formula>NOT(ISERROR(SEARCH("INVALID MARK",O32)))</formula>
    </cfRule>
    <cfRule type="containsText" dxfId="108" priority="4591" operator="containsText" text="INVALID ENTRY">
      <formula>NOT(ISERROR(SEARCH("INVALID ENTRY",O32)))</formula>
    </cfRule>
    <cfRule type="containsText" dxfId="107" priority="4592" operator="containsText" text="MISSING MARK">
      <formula>NOT(ISERROR(SEARCH("MISSING MARK",O32)))</formula>
    </cfRule>
  </conditionalFormatting>
  <conditionalFormatting sqref="P32:P36">
    <cfRule type="containsText" dxfId="106" priority="4587" operator="containsText" text="INVALID MARK">
      <formula>NOT(ISERROR(SEARCH("INVALID MARK",P32)))</formula>
    </cfRule>
    <cfRule type="containsText" dxfId="105" priority="4588" operator="containsText" text="INVALID ENTRY">
      <formula>NOT(ISERROR(SEARCH("INVALID ENTRY",P32)))</formula>
    </cfRule>
    <cfRule type="containsText" dxfId="104" priority="4589" operator="containsText" text="MISSING MARK">
      <formula>NOT(ISERROR(SEARCH("MISSING MARK",P32)))</formula>
    </cfRule>
  </conditionalFormatting>
  <conditionalFormatting sqref="Q32:Q36">
    <cfRule type="containsText" dxfId="103" priority="4584" operator="containsText" text="INVALID MARK">
      <formula>NOT(ISERROR(SEARCH("INVALID MARK",Q32)))</formula>
    </cfRule>
    <cfRule type="containsText" dxfId="102" priority="4585" operator="containsText" text="INVALID ENTRY">
      <formula>NOT(ISERROR(SEARCH("INVALID ENTRY",Q32)))</formula>
    </cfRule>
    <cfRule type="containsText" dxfId="101" priority="4586" operator="containsText" text="MISSING MARK">
      <formula>NOT(ISERROR(SEARCH("MISSING MARK",Q32)))</formula>
    </cfRule>
  </conditionalFormatting>
  <conditionalFormatting sqref="G37">
    <cfRule type="containsText" dxfId="100" priority="4569" operator="containsText" text="WRITE SUPP">
      <formula>NOT(ISERROR(SEARCH("WRITE SUPP",G37)))</formula>
    </cfRule>
  </conditionalFormatting>
  <conditionalFormatting sqref="H37">
    <cfRule type="containsText" dxfId="99" priority="4564" operator="containsText" text="FAIL">
      <formula>NOT(ISERROR(SEARCH("FAIL",H37)))</formula>
    </cfRule>
  </conditionalFormatting>
  <conditionalFormatting sqref="O37">
    <cfRule type="containsText" dxfId="98" priority="4557" operator="containsText" text="INVALID MARK">
      <formula>NOT(ISERROR(SEARCH("INVALID MARK",O37)))</formula>
    </cfRule>
    <cfRule type="containsText" dxfId="97" priority="4558" operator="containsText" text="INVALID ENTRY">
      <formula>NOT(ISERROR(SEARCH("INVALID ENTRY",O37)))</formula>
    </cfRule>
    <cfRule type="containsText" dxfId="96" priority="4559" operator="containsText" text="MISSING MARK">
      <formula>NOT(ISERROR(SEARCH("MISSING MARK",O37)))</formula>
    </cfRule>
  </conditionalFormatting>
  <conditionalFormatting sqref="P37">
    <cfRule type="containsText" dxfId="95" priority="4554" operator="containsText" text="INVALID MARK">
      <formula>NOT(ISERROR(SEARCH("INVALID MARK",P37)))</formula>
    </cfRule>
    <cfRule type="containsText" dxfId="94" priority="4555" operator="containsText" text="INVALID ENTRY">
      <formula>NOT(ISERROR(SEARCH("INVALID ENTRY",P37)))</formula>
    </cfRule>
    <cfRule type="containsText" dxfId="93" priority="4556" operator="containsText" text="MISSING MARK">
      <formula>NOT(ISERROR(SEARCH("MISSING MARK",P37)))</formula>
    </cfRule>
  </conditionalFormatting>
  <conditionalFormatting sqref="Q37">
    <cfRule type="containsText" dxfId="92" priority="4551" operator="containsText" text="INVALID MARK">
      <formula>NOT(ISERROR(SEARCH("INVALID MARK",Q37)))</formula>
    </cfRule>
    <cfRule type="containsText" dxfId="91" priority="4552" operator="containsText" text="INVALID ENTRY">
      <formula>NOT(ISERROR(SEARCH("INVALID ENTRY",Q37)))</formula>
    </cfRule>
    <cfRule type="containsText" dxfId="90" priority="4553" operator="containsText" text="MISSING MARK">
      <formula>NOT(ISERROR(SEARCH("MISSING MARK",Q37)))</formula>
    </cfRule>
  </conditionalFormatting>
  <conditionalFormatting sqref="J38">
    <cfRule type="cellIs" dxfId="89" priority="4471" operator="lessThan">
      <formula>$D$10</formula>
    </cfRule>
  </conditionalFormatting>
  <conditionalFormatting sqref="G38">
    <cfRule type="containsText" dxfId="88" priority="4469" operator="containsText" text="WRITE SUPP">
      <formula>NOT(ISERROR(SEARCH("WRITE SUPP",G38)))</formula>
    </cfRule>
  </conditionalFormatting>
  <conditionalFormatting sqref="H38">
    <cfRule type="containsText" dxfId="87" priority="4465" operator="containsText" text="FAIL">
      <formula>NOT(ISERROR(SEARCH("FAIL",H38)))</formula>
    </cfRule>
  </conditionalFormatting>
  <conditionalFormatting sqref="O38">
    <cfRule type="containsText" dxfId="86" priority="4458" operator="containsText" text="INVALID MARK">
      <formula>NOT(ISERROR(SEARCH("INVALID MARK",O38)))</formula>
    </cfRule>
    <cfRule type="containsText" dxfId="85" priority="4459" operator="containsText" text="INVALID ENTRY">
      <formula>NOT(ISERROR(SEARCH("INVALID ENTRY",O38)))</formula>
    </cfRule>
    <cfRule type="containsText" dxfId="84" priority="4460" operator="containsText" text="MISSING MARK">
      <formula>NOT(ISERROR(SEARCH("MISSING MARK",O38)))</formula>
    </cfRule>
  </conditionalFormatting>
  <conditionalFormatting sqref="P38">
    <cfRule type="containsText" dxfId="83" priority="4455" operator="containsText" text="INVALID MARK">
      <formula>NOT(ISERROR(SEARCH("INVALID MARK",P38)))</formula>
    </cfRule>
    <cfRule type="containsText" dxfId="82" priority="4456" operator="containsText" text="INVALID ENTRY">
      <formula>NOT(ISERROR(SEARCH("INVALID ENTRY",P38)))</formula>
    </cfRule>
    <cfRule type="containsText" dxfId="81" priority="4457" operator="containsText" text="MISSING MARK">
      <formula>NOT(ISERROR(SEARCH("MISSING MARK",P38)))</formula>
    </cfRule>
  </conditionalFormatting>
  <conditionalFormatting sqref="Q38">
    <cfRule type="containsText" dxfId="80" priority="4452" operator="containsText" text="INVALID MARK">
      <formula>NOT(ISERROR(SEARCH("INVALID MARK",Q38)))</formula>
    </cfRule>
    <cfRule type="containsText" dxfId="79" priority="4453" operator="containsText" text="INVALID ENTRY">
      <formula>NOT(ISERROR(SEARCH("INVALID ENTRY",Q38)))</formula>
    </cfRule>
    <cfRule type="containsText" dxfId="78" priority="4454" operator="containsText" text="MISSING MARK">
      <formula>NOT(ISERROR(SEARCH("MISSING MARK",Q38)))</formula>
    </cfRule>
  </conditionalFormatting>
  <conditionalFormatting sqref="K28:K38">
    <cfRule type="containsText" dxfId="77" priority="3320" operator="containsText" text="INVALID ENTRY">
      <formula>NOT(ISERROR(SEARCH("INVALID ENTRY",K28)))</formula>
    </cfRule>
  </conditionalFormatting>
  <conditionalFormatting sqref="I28:I38">
    <cfRule type="cellIs" dxfId="76" priority="2158" operator="equal">
      <formula>$L$11</formula>
    </cfRule>
    <cfRule type="cellIs" dxfId="75" priority="2160" operator="equal">
      <formula>$L$9</formula>
    </cfRule>
    <cfRule type="cellIs" dxfId="74" priority="2174" operator="equal">
      <formula>$L$8</formula>
    </cfRule>
    <cfRule type="cellIs" dxfId="73" priority="2176" operator="equal">
      <formula>$L$6</formula>
    </cfRule>
    <cfRule type="cellIs" dxfId="72" priority="2177" operator="equal">
      <formula>$L$5</formula>
    </cfRule>
    <cfRule type="cellIs" dxfId="71" priority="2182" operator="equal">
      <formula>$L$4</formula>
    </cfRule>
  </conditionalFormatting>
  <conditionalFormatting sqref="I28:I38">
    <cfRule type="cellIs" dxfId="70" priority="2156" operator="equal">
      <formula>$L$13</formula>
    </cfRule>
    <cfRule type="cellIs" dxfId="69" priority="2157" operator="equal">
      <formula>$L$12</formula>
    </cfRule>
    <cfRule type="cellIs" dxfId="68" priority="2159" operator="equal">
      <formula>$L$10</formula>
    </cfRule>
    <cfRule type="cellIs" dxfId="67" priority="2175" operator="equal">
      <formula>$L$7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35 F36 F38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73</v>
      </c>
      <c r="G3" s="4">
        <v>0</v>
      </c>
    </row>
    <row r="4" spans="3:126" ht="123.75" customHeight="1" thickBot="1" x14ac:dyDescent="0.3">
      <c r="C4" s="21"/>
      <c r="F4" s="125" t="s">
        <v>74</v>
      </c>
      <c r="G4" s="125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 t="shared" ref="I7:I17" si="2">ERROR_CHECK_MARK(L7:U7,L$6:U$6,H7,K$6)</f>
        <v>4</v>
      </c>
      <c r="J7" s="28">
        <v>0</v>
      </c>
      <c r="K7" s="24">
        <f t="shared" ref="K7" si="3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5">IF(K8/K$6-J8&gt;=0, K8/K$6-J8, 0)</f>
        <v>0.8</v>
      </c>
      <c r="I8" s="20">
        <f t="shared" si="2"/>
        <v>8</v>
      </c>
      <c r="J8" s="28">
        <v>0</v>
      </c>
      <c r="K8" s="24">
        <f t="shared" ref="K8:K10" si="6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5"/>
        <v>0.4</v>
      </c>
      <c r="I9" s="20">
        <f t="shared" si="2"/>
        <v>4</v>
      </c>
      <c r="J9" s="28">
        <v>0</v>
      </c>
      <c r="K9" s="24">
        <f t="shared" si="6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5"/>
        <v>0.5</v>
      </c>
      <c r="I10" s="20">
        <f t="shared" si="2"/>
        <v>5</v>
      </c>
      <c r="J10" s="28">
        <v>0</v>
      </c>
      <c r="K10" s="24">
        <f t="shared" si="6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7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8">IF(K11/K$6-J11&gt;=0, K11/K$6-J11, 0)</f>
        <v>0.6</v>
      </c>
      <c r="I11" s="20">
        <f t="shared" si="2"/>
        <v>6</v>
      </c>
      <c r="J11" s="28">
        <v>0</v>
      </c>
      <c r="K11" s="24">
        <f t="shared" ref="K11:K15" si="9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7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8"/>
        <v>0.35000000000000003</v>
      </c>
      <c r="I12" s="20">
        <f t="shared" si="2"/>
        <v>3.5000000000000004</v>
      </c>
      <c r="J12" s="28">
        <v>0.05</v>
      </c>
      <c r="K12" s="24">
        <f t="shared" si="9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7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8"/>
        <v>0.6</v>
      </c>
      <c r="I13" s="20">
        <f t="shared" si="2"/>
        <v>6</v>
      </c>
      <c r="J13" s="28">
        <v>0</v>
      </c>
      <c r="K13" s="24">
        <f t="shared" si="9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7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8"/>
        <v>5.6</v>
      </c>
      <c r="I14" s="20" t="str">
        <f t="shared" si="2"/>
        <v>INVALID MARK</v>
      </c>
      <c r="J14" s="28">
        <v>0</v>
      </c>
      <c r="K14" s="24">
        <f t="shared" si="9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7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8"/>
        <v>0.9</v>
      </c>
      <c r="I15" s="20">
        <f t="shared" si="2"/>
        <v>9</v>
      </c>
      <c r="J15" s="28">
        <v>0</v>
      </c>
      <c r="K15" s="24">
        <f t="shared" si="9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10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1">IF(K16/K$6-J16&gt;=0, K16/K$6-J16, 0)</f>
        <v>1</v>
      </c>
      <c r="I16" s="20">
        <f t="shared" si="2"/>
        <v>10</v>
      </c>
      <c r="J16" s="28">
        <v>0</v>
      </c>
      <c r="K16" s="24">
        <f t="shared" ref="K16" si="12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3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4">IF(K17/K$6-J17&gt;=0, K17/K$6-J17, 0)</f>
        <v>0.7</v>
      </c>
      <c r="I17" s="20">
        <f t="shared" si="2"/>
        <v>7</v>
      </c>
      <c r="J17" s="28">
        <v>0</v>
      </c>
      <c r="K17" s="24">
        <f t="shared" ref="K17" si="15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616" operator="containsText" text="INVALID MARK">
      <formula>NOT(ISERROR(SEARCH("INVALID MARK",I7)))</formula>
    </cfRule>
    <cfRule type="containsText" dxfId="65" priority="617" operator="containsText" text="INVALID ENTRY">
      <formula>NOT(ISERROR(SEARCH("INVALID ENTRY",I7)))</formula>
    </cfRule>
    <cfRule type="containsText" dxfId="64" priority="618" operator="containsText" text="MISSING MARK">
      <formula>NOT(ISERROR(SEARCH("MISSING MARK",I7)))</formula>
    </cfRule>
  </conditionalFormatting>
  <conditionalFormatting sqref="D7">
    <cfRule type="containsText" dxfId="63" priority="446" operator="containsText" text="FAIL">
      <formula>NOT(ISERROR(SEARCH("FAIL",D7)))</formula>
    </cfRule>
    <cfRule type="containsText" dxfId="62" priority="447" operator="containsText" text="PASS">
      <formula>NOT(ISERROR(SEARCH("PASS",D7)))</formula>
    </cfRule>
  </conditionalFormatting>
  <conditionalFormatting sqref="D8:D10">
    <cfRule type="containsText" dxfId="61" priority="431" operator="containsText" text="FAIL">
      <formula>NOT(ISERROR(SEARCH("FAIL",D8)))</formula>
    </cfRule>
    <cfRule type="containsText" dxfId="60" priority="432" operator="containsText" text="PASS">
      <formula>NOT(ISERROR(SEARCH("PASS",D8)))</formula>
    </cfRule>
  </conditionalFormatting>
  <conditionalFormatting sqref="D11:D15">
    <cfRule type="containsText" dxfId="59" priority="426" operator="containsText" text="FAIL">
      <formula>NOT(ISERROR(SEARCH("FAIL",D11)))</formula>
    </cfRule>
    <cfRule type="containsText" dxfId="58" priority="427" operator="containsText" text="PASS">
      <formula>NOT(ISERROR(SEARCH("PASS",D11)))</formula>
    </cfRule>
  </conditionalFormatting>
  <conditionalFormatting sqref="D16">
    <cfRule type="containsText" dxfId="57" priority="421" operator="containsText" text="FAIL">
      <formula>NOT(ISERROR(SEARCH("FAIL",D16)))</formula>
    </cfRule>
    <cfRule type="containsText" dxfId="56" priority="422" operator="containsText" text="PASS">
      <formula>NOT(ISERROR(SEARCH("PASS",D16)))</formula>
    </cfRule>
  </conditionalFormatting>
  <conditionalFormatting sqref="D17">
    <cfRule type="containsText" dxfId="55" priority="401" operator="containsText" text="FAIL">
      <formula>NOT(ISERROR(SEARCH("FAIL",D17)))</formula>
    </cfRule>
    <cfRule type="containsText" dxfId="54" priority="40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7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 t="shared" ref="I7:I17" si="2">ERROR_CHECK_MARK(L7:U7,L$6:U$6,H7,K$6)</f>
        <v>20.5</v>
      </c>
      <c r="J7" s="28">
        <v>0</v>
      </c>
      <c r="K7" s="24">
        <f t="shared" ref="K7:K10" si="3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 t="shared" si="2"/>
        <v>25.5</v>
      </c>
      <c r="J8" s="28">
        <v>0</v>
      </c>
      <c r="K8" s="24">
        <f t="shared" si="3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 t="shared" si="2"/>
        <v>10.500000000000002</v>
      </c>
      <c r="J9" s="28">
        <v>0.05</v>
      </c>
      <c r="K9" s="24">
        <f t="shared" si="3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0.56666666666666665</v>
      </c>
      <c r="I10" s="20">
        <f t="shared" si="2"/>
        <v>17</v>
      </c>
      <c r="J10" s="28">
        <v>0</v>
      </c>
      <c r="K10" s="24">
        <f t="shared" si="3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0.6</v>
      </c>
      <c r="I11" s="20">
        <f t="shared" si="2"/>
        <v>18</v>
      </c>
      <c r="J11" s="28">
        <v>0</v>
      </c>
      <c r="K11" s="24">
        <f t="shared" ref="K11:K15" si="7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0.36666666666666664</v>
      </c>
      <c r="I12" s="20">
        <f t="shared" si="2"/>
        <v>11</v>
      </c>
      <c r="J12" s="28">
        <v>0</v>
      </c>
      <c r="K12" s="24">
        <f t="shared" si="7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0.41666666666666669</v>
      </c>
      <c r="I13" s="20" t="str">
        <f t="shared" si="2"/>
        <v>INVALID ENTRY</v>
      </c>
      <c r="J13" s="28">
        <v>0</v>
      </c>
      <c r="K13" s="24">
        <f t="shared" si="7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0.6166666666666667</v>
      </c>
      <c r="I14" s="20">
        <f t="shared" si="2"/>
        <v>18.5</v>
      </c>
      <c r="J14" s="28">
        <v>0</v>
      </c>
      <c r="K14" s="24">
        <f t="shared" si="7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0.46666666666666667</v>
      </c>
      <c r="I15" s="20">
        <f t="shared" si="2"/>
        <v>14</v>
      </c>
      <c r="J15" s="28">
        <v>0</v>
      </c>
      <c r="K15" s="24">
        <f t="shared" si="7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</v>
      </c>
      <c r="I16" s="20">
        <f t="shared" si="2"/>
        <v>21</v>
      </c>
      <c r="J16" s="28">
        <v>0</v>
      </c>
      <c r="K16" s="24">
        <f t="shared" ref="K16" si="10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0.61666666666666659</v>
      </c>
      <c r="I17" s="20">
        <f t="shared" si="2"/>
        <v>18.499999999999996</v>
      </c>
      <c r="J17" s="28">
        <v>0.05</v>
      </c>
      <c r="K17" s="24">
        <f t="shared" ref="K17" si="13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53" priority="438" operator="containsText" text="INVALID MARK">
      <formula>NOT(ISERROR(SEARCH("INVALID MARK",I7)))</formula>
    </cfRule>
    <cfRule type="containsText" dxfId="52" priority="439" operator="containsText" text="INVALID ENTRY">
      <formula>NOT(ISERROR(SEARCH("INVALID ENTRY",I7)))</formula>
    </cfRule>
    <cfRule type="containsText" dxfId="51" priority="440" operator="containsText" text="MISSING MARK">
      <formula>NOT(ISERROR(SEARCH("MISSING MARK",I7)))</formula>
    </cfRule>
  </conditionalFormatting>
  <conditionalFormatting sqref="D7">
    <cfRule type="containsText" dxfId="50" priority="436" operator="containsText" text="FAIL">
      <formula>NOT(ISERROR(SEARCH("FAIL",D7)))</formula>
    </cfRule>
    <cfRule type="containsText" dxfId="49" priority="437" operator="containsText" text="PASS">
      <formula>NOT(ISERROR(SEARCH("PASS",D7)))</formula>
    </cfRule>
  </conditionalFormatting>
  <conditionalFormatting sqref="D8:D10">
    <cfRule type="containsText" dxfId="48" priority="431" operator="containsText" text="FAIL">
      <formula>NOT(ISERROR(SEARCH("FAIL",D8)))</formula>
    </cfRule>
    <cfRule type="containsText" dxfId="47" priority="432" operator="containsText" text="PASS">
      <formula>NOT(ISERROR(SEARCH("PASS",D8)))</formula>
    </cfRule>
  </conditionalFormatting>
  <conditionalFormatting sqref="D11:D15">
    <cfRule type="containsText" dxfId="46" priority="426" operator="containsText" text="FAIL">
      <formula>NOT(ISERROR(SEARCH("FAIL",D11)))</formula>
    </cfRule>
    <cfRule type="containsText" dxfId="45" priority="427" operator="containsText" text="PASS">
      <formula>NOT(ISERROR(SEARCH("PASS",D11)))</formula>
    </cfRule>
  </conditionalFormatting>
  <conditionalFormatting sqref="D16">
    <cfRule type="containsText" dxfId="44" priority="421" operator="containsText" text="FAIL">
      <formula>NOT(ISERROR(SEARCH("FAIL",D16)))</formula>
    </cfRule>
    <cfRule type="containsText" dxfId="43" priority="422" operator="containsText" text="PASS">
      <formula>NOT(ISERROR(SEARCH("PASS",D16)))</formula>
    </cfRule>
  </conditionalFormatting>
  <conditionalFormatting sqref="D17">
    <cfRule type="containsText" dxfId="42" priority="401" operator="containsText" text="FAIL">
      <formula>NOT(ISERROR(SEARCH("FAIL",D17)))</formula>
    </cfRule>
    <cfRule type="containsText" dxfId="41" priority="40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7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 t="shared" ref="I7:I17" si="2">ERROR_CHECK_MARK(L7:U7,L$6:U$6,H7,K$6)</f>
        <v>16</v>
      </c>
      <c r="J7" s="28">
        <v>0</v>
      </c>
      <c r="K7" s="24">
        <f t="shared" ref="K7:K10" si="3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 t="shared" si="2"/>
        <v>19</v>
      </c>
      <c r="J8" s="28">
        <v>0</v>
      </c>
      <c r="K8" s="24">
        <f t="shared" si="3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 t="shared" si="2"/>
        <v>9</v>
      </c>
      <c r="J9" s="28">
        <v>0</v>
      </c>
      <c r="K9" s="24">
        <f t="shared" si="3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 t="shared" si="2"/>
        <v>11</v>
      </c>
      <c r="J10" s="28">
        <v>0</v>
      </c>
      <c r="K10" s="24">
        <f t="shared" si="3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0.95</v>
      </c>
      <c r="I11" s="20">
        <f t="shared" si="2"/>
        <v>19</v>
      </c>
      <c r="J11" s="28">
        <v>0</v>
      </c>
      <c r="K11" s="24">
        <f t="shared" ref="K11:K15" si="7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0.55000000000000004</v>
      </c>
      <c r="I12" s="20">
        <f t="shared" si="2"/>
        <v>11</v>
      </c>
      <c r="J12" s="28">
        <v>0</v>
      </c>
      <c r="K12" s="24">
        <f t="shared" si="7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0.6</v>
      </c>
      <c r="I13" s="20">
        <f t="shared" si="2"/>
        <v>12</v>
      </c>
      <c r="J13" s="28">
        <v>0</v>
      </c>
      <c r="K13" s="24">
        <f t="shared" si="7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0.65</v>
      </c>
      <c r="I14" s="20">
        <f t="shared" si="2"/>
        <v>13</v>
      </c>
      <c r="J14" s="28">
        <v>0</v>
      </c>
      <c r="K14" s="24">
        <f t="shared" si="7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0.65</v>
      </c>
      <c r="I15" s="20" t="str">
        <f t="shared" si="2"/>
        <v>MISSING MARK</v>
      </c>
      <c r="J15" s="28">
        <v>0</v>
      </c>
      <c r="K15" s="24">
        <f t="shared" si="7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0.625</v>
      </c>
      <c r="I16" s="20">
        <f t="shared" si="2"/>
        <v>12.5</v>
      </c>
      <c r="J16" s="28">
        <v>0</v>
      </c>
      <c r="K16" s="24">
        <f t="shared" ref="K16" si="10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1.05</v>
      </c>
      <c r="I17" s="20" t="str">
        <f t="shared" si="2"/>
        <v>INVALID MARK</v>
      </c>
      <c r="J17" s="28">
        <v>0</v>
      </c>
      <c r="K17" s="24">
        <f t="shared" ref="K17" si="13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dataConsolidate/>
  <mergeCells count="1">
    <mergeCell ref="F4:G4"/>
  </mergeCells>
  <conditionalFormatting sqref="I7:I17">
    <cfRule type="containsText" dxfId="40" priority="438" operator="containsText" text="INVALID MARK">
      <formula>NOT(ISERROR(SEARCH("INVALID MARK",I7)))</formula>
    </cfRule>
    <cfRule type="containsText" dxfId="39" priority="439" operator="containsText" text="INVALID ENTRY">
      <formula>NOT(ISERROR(SEARCH("INVALID ENTRY",I7)))</formula>
    </cfRule>
    <cfRule type="containsText" dxfId="38" priority="440" operator="containsText" text="MISSING MARK">
      <formula>NOT(ISERROR(SEARCH("MISSING MARK",I7)))</formula>
    </cfRule>
  </conditionalFormatting>
  <conditionalFormatting sqref="D7">
    <cfRule type="containsText" dxfId="37" priority="436" operator="containsText" text="FAIL">
      <formula>NOT(ISERROR(SEARCH("FAIL",D7)))</formula>
    </cfRule>
    <cfRule type="containsText" dxfId="36" priority="437" operator="containsText" text="PASS">
      <formula>NOT(ISERROR(SEARCH("PASS",D7)))</formula>
    </cfRule>
  </conditionalFormatting>
  <conditionalFormatting sqref="D8:D10">
    <cfRule type="containsText" dxfId="35" priority="431" operator="containsText" text="FAIL">
      <formula>NOT(ISERROR(SEARCH("FAIL",D8)))</formula>
    </cfRule>
    <cfRule type="containsText" dxfId="34" priority="432" operator="containsText" text="PASS">
      <formula>NOT(ISERROR(SEARCH("PASS",D8)))</formula>
    </cfRule>
  </conditionalFormatting>
  <conditionalFormatting sqref="D11:D15">
    <cfRule type="containsText" dxfId="33" priority="426" operator="containsText" text="FAIL">
      <formula>NOT(ISERROR(SEARCH("FAIL",D11)))</formula>
    </cfRule>
    <cfRule type="containsText" dxfId="32" priority="427" operator="containsText" text="PASS">
      <formula>NOT(ISERROR(SEARCH("PASS",D11)))</formula>
    </cfRule>
  </conditionalFormatting>
  <conditionalFormatting sqref="D16">
    <cfRule type="containsText" dxfId="31" priority="421" operator="containsText" text="FAIL">
      <formula>NOT(ISERROR(SEARCH("FAIL",D16)))</formula>
    </cfRule>
    <cfRule type="containsText" dxfId="30" priority="422" operator="containsText" text="PASS">
      <formula>NOT(ISERROR(SEARCH("PASS",D16)))</formula>
    </cfRule>
  </conditionalFormatting>
  <conditionalFormatting sqref="D17">
    <cfRule type="containsText" dxfId="29" priority="401" operator="containsText" text="FAIL">
      <formula>NOT(ISERROR(SEARCH("FAIL",D17)))</formula>
    </cfRule>
    <cfRule type="containsText" dxfId="28" priority="402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7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 t="shared" ref="I7:I17" si="2">ERROR_CHECK_MARK(L7:U7,L$6:U$6,H7,K$6)</f>
        <v>33</v>
      </c>
      <c r="J7" s="28">
        <v>0</v>
      </c>
      <c r="K7" s="24">
        <f t="shared" ref="K7:K10" si="3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 t="shared" si="2"/>
        <v>46</v>
      </c>
      <c r="J8" s="28">
        <v>0</v>
      </c>
      <c r="K8" s="24">
        <f t="shared" si="3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 t="shared" si="2"/>
        <v>16</v>
      </c>
      <c r="J9" s="28">
        <v>0</v>
      </c>
      <c r="K9" s="24">
        <f t="shared" si="3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 t="shared" si="2"/>
        <v>30</v>
      </c>
      <c r="J10" s="28">
        <v>0</v>
      </c>
      <c r="K10" s="24">
        <f t="shared" si="3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0.7</v>
      </c>
      <c r="I11" s="20">
        <f t="shared" si="2"/>
        <v>35</v>
      </c>
      <c r="J11" s="28">
        <v>0</v>
      </c>
      <c r="K11" s="24">
        <f t="shared" ref="K11:K15" si="7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0.34</v>
      </c>
      <c r="I12" s="20">
        <f t="shared" si="2"/>
        <v>17</v>
      </c>
      <c r="J12" s="28">
        <v>0</v>
      </c>
      <c r="K12" s="24">
        <f t="shared" si="7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0.94</v>
      </c>
      <c r="I13" s="20">
        <f t="shared" si="2"/>
        <v>47</v>
      </c>
      <c r="J13" s="28">
        <v>0</v>
      </c>
      <c r="K13" s="24">
        <f t="shared" si="7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0.62</v>
      </c>
      <c r="I14" s="20">
        <f t="shared" si="2"/>
        <v>31</v>
      </c>
      <c r="J14" s="28">
        <v>0.1</v>
      </c>
      <c r="K14" s="24">
        <f t="shared" si="7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0.9</v>
      </c>
      <c r="I15" s="20">
        <f t="shared" si="2"/>
        <v>45</v>
      </c>
      <c r="J15" s="28">
        <v>0</v>
      </c>
      <c r="K15" s="24">
        <f t="shared" si="7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0.72</v>
      </c>
      <c r="I16" s="20">
        <f t="shared" si="2"/>
        <v>36</v>
      </c>
      <c r="J16" s="28">
        <v>0</v>
      </c>
      <c r="K16" s="24">
        <f t="shared" ref="K16" si="10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0.78</v>
      </c>
      <c r="I17" s="20">
        <f t="shared" si="2"/>
        <v>39</v>
      </c>
      <c r="J17" s="28">
        <v>0</v>
      </c>
      <c r="K17" s="24">
        <f t="shared" ref="K17" si="13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27" priority="438" operator="containsText" text="INVALID MARK">
      <formula>NOT(ISERROR(SEARCH("INVALID MARK",I7)))</formula>
    </cfRule>
    <cfRule type="containsText" dxfId="26" priority="439" operator="containsText" text="INVALID ENTRY">
      <formula>NOT(ISERROR(SEARCH("INVALID ENTRY",I7)))</formula>
    </cfRule>
    <cfRule type="containsText" dxfId="25" priority="440" operator="containsText" text="MISSING MARK">
      <formula>NOT(ISERROR(SEARCH("MISSING MARK",I7)))</formula>
    </cfRule>
  </conditionalFormatting>
  <conditionalFormatting sqref="D7">
    <cfRule type="containsText" dxfId="24" priority="436" operator="containsText" text="FAIL">
      <formula>NOT(ISERROR(SEARCH("FAIL",D7)))</formula>
    </cfRule>
    <cfRule type="containsText" dxfId="23" priority="437" operator="containsText" text="PASS">
      <formula>NOT(ISERROR(SEARCH("PASS",D7)))</formula>
    </cfRule>
  </conditionalFormatting>
  <conditionalFormatting sqref="D8:D10">
    <cfRule type="containsText" dxfId="22" priority="431" operator="containsText" text="FAIL">
      <formula>NOT(ISERROR(SEARCH("FAIL",D8)))</formula>
    </cfRule>
    <cfRule type="containsText" dxfId="21" priority="432" operator="containsText" text="PASS">
      <formula>NOT(ISERROR(SEARCH("PASS",D8)))</formula>
    </cfRule>
  </conditionalFormatting>
  <conditionalFormatting sqref="D11:D15">
    <cfRule type="containsText" dxfId="20" priority="426" operator="containsText" text="FAIL">
      <formula>NOT(ISERROR(SEARCH("FAIL",D11)))</formula>
    </cfRule>
    <cfRule type="containsText" dxfId="19" priority="427" operator="containsText" text="PASS">
      <formula>NOT(ISERROR(SEARCH("PASS",D11)))</formula>
    </cfRule>
  </conditionalFormatting>
  <conditionalFormatting sqref="D16">
    <cfRule type="containsText" dxfId="18" priority="421" operator="containsText" text="FAIL">
      <formula>NOT(ISERROR(SEARCH("FAIL",D16)))</formula>
    </cfRule>
    <cfRule type="containsText" dxfId="17" priority="422" operator="containsText" text="PASS">
      <formula>NOT(ISERROR(SEARCH("PASS",D16)))</formula>
    </cfRule>
  </conditionalFormatting>
  <conditionalFormatting sqref="D17">
    <cfRule type="containsText" dxfId="16" priority="401" operator="containsText" text="FAIL">
      <formula>NOT(ISERROR(SEARCH("FAIL",D17)))</formula>
    </cfRule>
    <cfRule type="containsText" dxfId="15" priority="40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>SUM(L6:U6)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0">IF(K7/K$6-J7&gt;=0, K7/K$6-J7, 0)</f>
        <v>0.72499999999999998</v>
      </c>
      <c r="I7" s="20">
        <f t="shared" ref="I7:I17" si="1">ERROR_CHECK_MARK(L7:U7,L$6:U$6,H7,K$6)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0"/>
        <v>0.87</v>
      </c>
      <c r="I8" s="20">
        <f t="shared" si="1"/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0"/>
        <v>0.45</v>
      </c>
      <c r="I9" s="20">
        <f t="shared" si="1"/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0"/>
        <v>0.53</v>
      </c>
      <c r="I10" s="20">
        <f t="shared" si="1"/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0"/>
        <v>0.41</v>
      </c>
      <c r="I11" s="20">
        <f t="shared" si="1"/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 t="shared" si="1"/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 t="shared" si="1"/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 t="shared" si="1"/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 t="shared" si="1"/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 t="shared" si="1"/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 t="shared" si="1"/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756" operator="containsText" text="INVALID MARK">
      <formula>NOT(ISERROR(SEARCH("INVALID MARK",I7)))</formula>
    </cfRule>
    <cfRule type="containsText" dxfId="13" priority="757" operator="containsText" text="INVALID ENTRY">
      <formula>NOT(ISERROR(SEARCH("INVALID ENTRY",I7)))</formula>
    </cfRule>
    <cfRule type="containsText" dxfId="12" priority="758" operator="containsText" text="MISSING MARK">
      <formula>NOT(ISERROR(SEARCH("MISSING MARK",I7)))</formula>
    </cfRule>
  </conditionalFormatting>
  <conditionalFormatting sqref="D7">
    <cfRule type="containsText" dxfId="11" priority="529" operator="containsText" text="FAIL">
      <formula>NOT(ISERROR(SEARCH("FAIL",D7)))</formula>
    </cfRule>
    <cfRule type="containsText" dxfId="10" priority="530" operator="containsText" text="PASS">
      <formula>NOT(ISERROR(SEARCH("PASS",D7)))</formula>
    </cfRule>
  </conditionalFormatting>
  <conditionalFormatting sqref="D8:D10">
    <cfRule type="containsText" dxfId="9" priority="511" operator="containsText" text="FAIL">
      <formula>NOT(ISERROR(SEARCH("FAIL",D8)))</formula>
    </cfRule>
    <cfRule type="containsText" dxfId="8" priority="512" operator="containsText" text="PASS">
      <formula>NOT(ISERROR(SEARCH("PASS",D8)))</formula>
    </cfRule>
  </conditionalFormatting>
  <conditionalFormatting sqref="H7:H16">
    <cfRule type="containsText" dxfId="7" priority="507" operator="containsText" text="INVALID MARK">
      <formula>NOT(ISERROR(SEARCH("INVALID MARK",H7)))</formula>
    </cfRule>
  </conditionalFormatting>
  <conditionalFormatting sqref="D11:D15">
    <cfRule type="containsText" dxfId="6" priority="505" operator="containsText" text="FAIL">
      <formula>NOT(ISERROR(SEARCH("FAIL",D11)))</formula>
    </cfRule>
    <cfRule type="containsText" dxfId="5" priority="506" operator="containsText" text="PASS">
      <formula>NOT(ISERROR(SEARCH("PASS",D11)))</formula>
    </cfRule>
  </conditionalFormatting>
  <conditionalFormatting sqref="D16">
    <cfRule type="containsText" dxfId="4" priority="499" operator="containsText" text="FAIL">
      <formula>NOT(ISERROR(SEARCH("FAIL",D16)))</formula>
    </cfRule>
    <cfRule type="containsText" dxfId="3" priority="500" operator="containsText" text="PASS">
      <formula>NOT(ISERROR(SEARCH("PASS",D16)))</formula>
    </cfRule>
  </conditionalFormatting>
  <conditionalFormatting sqref="H17">
    <cfRule type="containsText" dxfId="2" priority="480" operator="containsText" text="INVALID MARK">
      <formula>NOT(ISERROR(SEARCH("INVALID MARK",H17)))</formula>
    </cfRule>
  </conditionalFormatting>
  <conditionalFormatting sqref="D17">
    <cfRule type="containsText" dxfId="1" priority="475" operator="containsText" text="FAIL">
      <formula>NOT(ISERROR(SEARCH("FAIL",D17)))</formula>
    </cfRule>
    <cfRule type="containsText" dxfId="0" priority="476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2020-10-15T10:37:01Z</dcterms:modified>
</cp:coreProperties>
</file>