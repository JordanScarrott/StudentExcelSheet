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ront page - Marks Overview" sheetId="1" r:id="rId1"/>
    <sheet name="Attendance sheet" sheetId="59" r:id="rId2"/>
    <sheet name="Test 1" sheetId="54" r:id="rId3"/>
    <sheet name="Test 2" sheetId="55" r:id="rId4"/>
    <sheet name="Oral Assignment 1" sheetId="56" r:id="rId5"/>
    <sheet name="Test 4" sheetId="58" r:id="rId6"/>
    <sheet name="Exam" sheetId="52" r:id="rId7"/>
  </sheets>
  <functionGroups builtInGroupCount="18"/>
  <definedNames>
    <definedName name="_xlnm._FilterDatabase" localSheetId="0" hidden="1">'Front page - Marks Overview'!$D$27:$N$27</definedName>
  </definedNames>
  <calcPr calcId="152511"/>
</workbook>
</file>

<file path=xl/calcChain.xml><?xml version="1.0" encoding="utf-8"?>
<calcChain xmlns="http://schemas.openxmlformats.org/spreadsheetml/2006/main">
  <c r="G3" i="52" l="1"/>
  <c r="I17" i="56"/>
  <c r="I29" i="1"/>
  <c r="I37" i="1"/>
  <c r="I30" i="1"/>
  <c r="I31" i="1"/>
  <c r="I32" i="1"/>
  <c r="I33" i="1"/>
  <c r="I36" i="1"/>
  <c r="I38" i="1"/>
  <c r="I35" i="1"/>
  <c r="I34" i="1"/>
  <c r="I28" i="1"/>
  <c r="I8" i="52"/>
  <c r="I16" i="52"/>
  <c r="I12" i="52"/>
  <c r="I14" i="52"/>
  <c r="I9" i="52"/>
  <c r="I10" i="52"/>
  <c r="I11" i="52"/>
  <c r="I13" i="52"/>
  <c r="I7" i="52"/>
  <c r="I15" i="52"/>
  <c r="I7" i="58"/>
  <c r="I15" i="58"/>
  <c r="I11" i="58"/>
  <c r="I13" i="58"/>
  <c r="I8" i="58"/>
  <c r="I16" i="58"/>
  <c r="I10" i="58"/>
  <c r="I14" i="58"/>
  <c r="I9" i="58"/>
  <c r="I12" i="58"/>
  <c r="I7" i="56"/>
  <c r="I15" i="56"/>
  <c r="I11" i="56"/>
  <c r="I14" i="56"/>
  <c r="I8" i="56"/>
  <c r="I16" i="56"/>
  <c r="I12" i="56"/>
  <c r="I13" i="56"/>
  <c r="I9" i="56"/>
  <c r="I10" i="56"/>
  <c r="I7" i="55"/>
  <c r="I15" i="55"/>
  <c r="I8" i="55"/>
  <c r="I9" i="55"/>
  <c r="I10" i="55"/>
  <c r="I11" i="55"/>
  <c r="I12" i="55"/>
  <c r="I13" i="55"/>
  <c r="I14" i="55"/>
  <c r="I16" i="55"/>
  <c r="I9" i="54"/>
  <c r="I10" i="54"/>
  <c r="I11" i="54"/>
  <c r="I12" i="54"/>
  <c r="I7" i="54"/>
  <c r="I15" i="54"/>
  <c r="I13" i="54"/>
  <c r="I14" i="54"/>
  <c r="I8" i="54"/>
  <c r="I16" i="54"/>
  <c r="M6" i="1" l="1"/>
  <c r="M5" i="1"/>
  <c r="M4" i="1"/>
  <c r="M13" i="1"/>
  <c r="M7" i="1"/>
  <c r="M8" i="1"/>
  <c r="M11" i="1"/>
  <c r="M9" i="1"/>
  <c r="M10" i="1"/>
  <c r="M12" i="1"/>
  <c r="K6" i="52"/>
  <c r="K8" i="52" l="1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Q25" i="1" l="1"/>
  <c r="H17" i="55"/>
  <c r="H14" i="58"/>
  <c r="H17" i="58"/>
  <c r="H15" i="56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D15" i="56" l="1"/>
  <c r="D17" i="56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N33" i="1" l="1"/>
  <c r="N29" i="1"/>
  <c r="N30" i="1"/>
  <c r="N32" i="1"/>
  <c r="N34" i="1"/>
  <c r="N31" i="1"/>
  <c r="D14" i="54"/>
  <c r="D16" i="54"/>
  <c r="D17" i="54"/>
  <c r="D7" i="54"/>
  <c r="D15" i="54"/>
  <c r="D13" i="54"/>
  <c r="D12" i="54"/>
  <c r="D11" i="54"/>
  <c r="D10" i="54"/>
  <c r="D8" i="54"/>
  <c r="D9" i="54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K28" i="1" l="1"/>
  <c r="K31" i="1"/>
  <c r="K33" i="1"/>
  <c r="K32" i="1"/>
  <c r="K29" i="1"/>
  <c r="K30" i="1"/>
  <c r="D11" i="52"/>
  <c r="D9" i="52"/>
  <c r="K34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28" i="1"/>
  <c r="M32" i="1" l="1"/>
  <c r="M29" i="1"/>
  <c r="M28" i="1"/>
  <c r="M30" i="1"/>
  <c r="M33" i="1"/>
  <c r="M34" i="1"/>
  <c r="M31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P36" i="1"/>
  <c r="Q36" i="1"/>
  <c r="I17" i="55"/>
  <c r="O38" i="1"/>
  <c r="O35" i="1"/>
  <c r="P38" i="1"/>
  <c r="I17" i="58"/>
  <c r="Q38" i="1"/>
  <c r="I17" i="54"/>
  <c r="N38" i="1"/>
  <c r="M38" i="1" s="1"/>
  <c r="L38" i="1" s="1"/>
  <c r="N36" i="1"/>
  <c r="O36" i="1" l="1"/>
  <c r="M36" i="1" s="1"/>
  <c r="L36" i="1" s="1"/>
  <c r="Q35" i="1"/>
  <c r="N35" i="1"/>
  <c r="P35" i="1" l="1"/>
  <c r="M35" i="1" s="1"/>
  <c r="L35" i="1" s="1"/>
  <c r="I17" i="52"/>
  <c r="K38" i="1"/>
  <c r="J38" i="1" l="1"/>
  <c r="G38" i="1" s="1"/>
  <c r="O37" i="1"/>
  <c r="P37" i="1"/>
  <c r="Q37" i="1"/>
  <c r="K36" i="1"/>
  <c r="H38" i="1" l="1"/>
  <c r="J36" i="1"/>
  <c r="H36" i="1" s="1"/>
  <c r="N37" i="1"/>
  <c r="M37" i="1" s="1"/>
  <c r="L37" i="1" s="1"/>
  <c r="G36" i="1" l="1"/>
  <c r="K37" i="1"/>
  <c r="J37" i="1" l="1"/>
  <c r="G37" i="1" s="1"/>
  <c r="K35" i="1"/>
  <c r="J35" i="1" l="1"/>
  <c r="G35" i="1" s="1"/>
  <c r="M16" i="1" s="1"/>
  <c r="H37" i="1"/>
  <c r="H35" i="1" l="1"/>
  <c r="M15" i="1" s="1"/>
  <c r="M19" i="1"/>
  <c r="M17" i="1"/>
  <c r="M18" i="1"/>
  <c r="M14" i="1" l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<sst xmlns="http://schemas.openxmlformats.org/spreadsheetml/2006/main" count="201" uniqueCount="105">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</sst>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65"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</dxfs>
  <tableStyles count="0" defaultTableStyle="TableStyleMedium2" defaultPivotStyle="PivotStyleMedium9"/>
  <colors>
    <mruColors>
      <color rgb="FFF4AF52"/>
      <color rgb="FFF49452"/>
      <color rgb="FFF46152"/>
      <color rgb="FFF3EB4B"/>
      <color rgb="FFDFEB4B"/>
      <color rgb="FFDFF34B"/>
      <color rgb="FFEBF34B"/>
      <color rgb="FFABF34B"/>
      <color rgb="FF8DF34B"/>
      <color rgb="FFF7D47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24765</xdr:colOff>
      <xdr:row>14</xdr:row>
      <xdr:rowOff>64489</xdr:rowOff>
    </xdr:from>
    <xdr:to>
      <xdr:col>8</xdr:col>
      <xdr:colOff>552449</xdr:colOff>
      <xdr:row>22</xdr:row>
      <xdr:rowOff>104775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9715" y="2817214"/>
          <a:ext cx="3251834" cy="1573811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E28" sqref="E28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6" t="s">
        <v>67</v>
      </c>
      <c r="G3" s="117"/>
      <c r="H3" s="117"/>
      <c r="I3" s="118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9"/>
      <c r="G4" s="120"/>
      <c r="H4" s="120"/>
      <c r="I4" s="121"/>
      <c r="J4" s="37"/>
      <c r="K4" s="53" t="s">
        <v>16</v>
      </c>
      <c r="L4" s="48" t="s">
        <v>104</v>
      </c>
      <c r="M4" s="59">
        <f t="shared" ref="M4:M13" si="0">COUNTIF(I$28:I$38, "="&amp;L4)</f>
        <v>1</v>
      </c>
    </row>
    <row r="5" spans="3:13" ht="15.75" thickBot="1" x14ac:dyDescent="0.3">
      <c r="C5" s="40" t="s">
        <v>13</v>
      </c>
      <c r="D5" s="68"/>
      <c r="E5" s="36"/>
      <c r="F5" s="119"/>
      <c r="G5" s="120"/>
      <c r="H5" s="120"/>
      <c r="I5" s="121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9"/>
      <c r="G6" s="120"/>
      <c r="H6" s="120"/>
      <c r="I6" s="121"/>
      <c r="J6" s="37"/>
      <c r="K6" s="55" t="s">
        <v>18</v>
      </c>
      <c r="L6" s="49" t="s">
        <v>33</v>
      </c>
      <c r="M6" s="59">
        <f t="shared" si="0"/>
        <v>2</v>
      </c>
    </row>
    <row r="7" spans="3:13" ht="15.75" thickBot="1" x14ac:dyDescent="0.3">
      <c r="C7" s="40" t="s">
        <v>51</v>
      </c>
      <c r="D7" s="90">
        <v>11</v>
      </c>
      <c r="F7" s="113" t="s">
        <v>65</v>
      </c>
      <c r="G7" s="114"/>
      <c r="H7" s="114"/>
      <c r="I7" s="115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4</v>
      </c>
      <c r="F8" s="110" t="s">
        <v>66</v>
      </c>
      <c r="G8" s="111"/>
      <c r="H8" s="111"/>
      <c r="I8" s="112"/>
      <c r="J8" s="35"/>
      <c r="K8" s="55" t="s">
        <v>20</v>
      </c>
      <c r="L8" s="49" t="s">
        <v>37</v>
      </c>
      <c r="M8" s="59">
        <f t="shared" si="0"/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3</v>
      </c>
    </row>
    <row r="10" spans="3:13" x14ac:dyDescent="0.25">
      <c r="C10" s="38" t="s">
        <v>48</v>
      </c>
      <c r="D10" s="39">
        <v>0.5</v>
      </c>
      <c r="F10" s="122" t="s">
        <v>68</v>
      </c>
      <c r="G10" s="123"/>
      <c r="H10" s="123"/>
      <c r="I10" s="124"/>
      <c r="J10" s="35"/>
      <c r="K10" s="56" t="s">
        <v>22</v>
      </c>
      <c r="L10" s="50" t="s">
        <v>32</v>
      </c>
      <c r="M10" s="59">
        <f t="shared" si="0"/>
        <v>0</v>
      </c>
    </row>
    <row r="11" spans="3:13" x14ac:dyDescent="0.25">
      <c r="C11" s="42" t="s">
        <v>46</v>
      </c>
      <c r="D11" s="43">
        <v>0.4</v>
      </c>
      <c r="F11" s="113" t="s">
        <v>69</v>
      </c>
      <c r="G11" s="114"/>
      <c r="H11" s="114"/>
      <c r="I11" s="115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13" t="s">
        <v>71</v>
      </c>
      <c r="G12" s="114"/>
      <c r="H12" s="114"/>
      <c r="I12" s="115"/>
      <c r="J12" s="35"/>
      <c r="K12" s="57" t="s">
        <v>30</v>
      </c>
      <c r="L12" s="51" t="s">
        <v>36</v>
      </c>
      <c r="M12" s="59">
        <f t="shared" si="0"/>
        <v>0</v>
      </c>
    </row>
    <row r="13" spans="3:13" ht="15.75" thickBot="1" x14ac:dyDescent="0.3">
      <c r="C13" s="44" t="s">
        <v>47</v>
      </c>
      <c r="D13" s="45">
        <v>0.4</v>
      </c>
      <c r="F13" s="110" t="s">
        <v>70</v>
      </c>
      <c r="G13" s="111"/>
      <c r="H13" s="111"/>
      <c r="I13" s="112"/>
      <c r="J13" s="35"/>
      <c r="K13" s="58" t="s">
        <v>29</v>
      </c>
      <c r="L13" s="52" t="s">
        <v>38</v>
      </c>
      <c r="M13" s="59">
        <f t="shared" si="0"/>
        <v>1</v>
      </c>
    </row>
    <row r="14" spans="3:13" x14ac:dyDescent="0.25">
      <c r="J14" s="35"/>
      <c r="K14" s="106" t="s">
        <v>28</v>
      </c>
      <c r="L14" s="107"/>
      <c r="M14" s="60">
        <f>COUNTIF(H28:H38, "=FAIL")</f>
        <v>3</v>
      </c>
    </row>
    <row r="15" spans="3:13" x14ac:dyDescent="0.25">
      <c r="J15" s="35"/>
      <c r="K15" s="108" t="s">
        <v>27</v>
      </c>
      <c r="L15" s="109"/>
      <c r="M15" s="59">
        <f>COUNTIF(H28:H38, "=PASS")</f>
        <v>8</v>
      </c>
    </row>
    <row r="16" spans="3:13" x14ac:dyDescent="0.25">
      <c r="J16" s="35"/>
      <c r="K16" s="108" t="s">
        <v>39</v>
      </c>
      <c r="L16" s="109"/>
      <c r="M16" s="59">
        <f>COUNTIF(G28:G38, "=WRITE SUPP")</f>
        <v>2</v>
      </c>
    </row>
    <row r="17" spans="1:17" x14ac:dyDescent="0.25">
      <c r="J17" s="35"/>
      <c r="K17" s="108" t="s">
        <v>40</v>
      </c>
      <c r="L17" s="109"/>
      <c r="M17" s="61">
        <f>MAX(J28:J38)-MIN(J28:J38)</f>
        <v>0.48981818181818176</v>
      </c>
    </row>
    <row r="18" spans="1:17" x14ac:dyDescent="0.25">
      <c r="J18" s="35"/>
      <c r="K18" s="108" t="s">
        <v>41</v>
      </c>
      <c r="L18" s="109"/>
      <c r="M18" s="61">
        <f>AVERAGE(J28:J38)</f>
        <v>0.6249421487603305</v>
      </c>
    </row>
    <row r="19" spans="1:17" ht="15.75" thickBot="1" x14ac:dyDescent="0.3">
      <c r="J19" s="35"/>
      <c r="K19" s="104" t="s">
        <v>42</v>
      </c>
      <c r="L19" s="105"/>
      <c r="M19" s="62">
        <f>STDEV(J28:J38)</f>
        <v>0.12975246154595738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 t="shared" ref="M27:M38" si="2"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3">IF(AND(K28&gt;=D$13, J28&gt;=D$11), IF(OR(K28&lt;D$12, J28&lt;D$10), "WRITE SUPP", "NO SUPP"), "NO SUPP")</f>
        <v>NO SUPP</v>
      </c>
      <c r="H28" s="74" t="str">
        <f t="shared" ref="H28:H38" si="4">IF(K28&gt;=D$12, IF(J28&gt;=D$10, "PASS", "FAIL"), "FAIL")</f>
        <v>PASS</v>
      </c>
      <c r="I28" s="74" t="str">
        <f t="shared" ref="I28:I38" si="5">STUDENT_GRADE(J28,K$4:K$13,L$4:L$13)</f>
        <v>B</v>
      </c>
      <c r="J28" s="89">
        <f t="shared" ref="J28:J38" si="6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7">M28/M$27</f>
        <v>0.66818181818181821</v>
      </c>
      <c r="M28" s="74">
        <f t="shared" si="2"/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3"/>
        <v>NO SUPP</v>
      </c>
      <c r="H29" s="74" t="str">
        <f t="shared" si="4"/>
        <v>PASS</v>
      </c>
      <c r="I29" s="74" t="str">
        <f t="shared" si="5"/>
        <v>A+</v>
      </c>
      <c r="J29" s="89">
        <f t="shared" si="6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7"/>
        <v>0.8954545454545455</v>
      </c>
      <c r="M29" s="74">
        <f t="shared" si="2"/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3"/>
        <v>NO SUPP</v>
      </c>
      <c r="H30" s="74" t="str">
        <f t="shared" si="4"/>
        <v>FAIL</v>
      </c>
      <c r="I30" s="74" t="str">
        <f t="shared" si="5"/>
        <v>F</v>
      </c>
      <c r="J30" s="89">
        <f t="shared" si="6"/>
        <v>0.39545454545454545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7"/>
        <v>0.35909090909090907</v>
      </c>
      <c r="M30" s="74">
        <f t="shared" si="2"/>
        <v>39.5</v>
      </c>
      <c r="N30" s="75">
        <f>'Test 1'!I9</f>
        <v>4</v>
      </c>
      <c r="O30" s="75">
        <f>'Test 2'!I9</f>
        <v>10.500000000000002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3"/>
        <v>NO SUPP</v>
      </c>
      <c r="H31" s="74" t="str">
        <f t="shared" si="4"/>
        <v>PASS</v>
      </c>
      <c r="I31" s="74" t="str">
        <f t="shared" si="5"/>
        <v>C+</v>
      </c>
      <c r="J31" s="89">
        <f t="shared" si="6"/>
        <v>0.55563636363636371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7"/>
        <v>0.57272727272727275</v>
      </c>
      <c r="M31" s="74">
        <f t="shared" si="2"/>
        <v>63</v>
      </c>
      <c r="N31" s="75">
        <f>'Test 1'!I10</f>
        <v>5</v>
      </c>
      <c r="O31" s="75">
        <f>'Test 2'!I10</f>
        <v>17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4"/>
        <v>FAIL</v>
      </c>
      <c r="I32" s="74" t="str">
        <f t="shared" si="5"/>
        <v>C+</v>
      </c>
      <c r="J32" s="89">
        <f t="shared" si="6"/>
        <v>0.58945454545454545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7"/>
        <v>0.70909090909090911</v>
      </c>
      <c r="M32" s="74">
        <f t="shared" si="2"/>
        <v>78</v>
      </c>
      <c r="N32" s="75">
        <f>'Test 1'!I11</f>
        <v>6</v>
      </c>
      <c r="O32" s="75">
        <f>'Test 2'!I11</f>
        <v>18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3"/>
        <v>WRITE SUPP</v>
      </c>
      <c r="H33" s="74" t="str">
        <f t="shared" si="4"/>
        <v>FAIL</v>
      </c>
      <c r="I33" s="74" t="str">
        <f t="shared" si="5"/>
        <v>C-</v>
      </c>
      <c r="J33" s="89">
        <f t="shared" si="6"/>
        <v>0.49181818181818182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7"/>
        <v>0.38636363636363635</v>
      </c>
      <c r="M33" s="74">
        <f t="shared" si="2"/>
        <v>42.5</v>
      </c>
      <c r="N33" s="75">
        <f>'Test 1'!I12</f>
        <v>3.5000000000000004</v>
      </c>
      <c r="O33" s="75">
        <f>'Test 2'!I12</f>
        <v>11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3"/>
        <v>NO SUPP</v>
      </c>
      <c r="H34" s="74" t="str">
        <f t="shared" si="4"/>
        <v>PASS</v>
      </c>
      <c r="I34" s="74" t="str">
        <f t="shared" si="5"/>
        <v>C+</v>
      </c>
      <c r="J34" s="89">
        <f t="shared" si="6"/>
        <v>0.58654545454545448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7"/>
        <v>0.59090909090909094</v>
      </c>
      <c r="M34" s="74">
        <f t="shared" si="2"/>
        <v>65</v>
      </c>
      <c r="N34" s="75">
        <f>'Test 1'!I13</f>
        <v>6</v>
      </c>
      <c r="O34" s="75" t="str">
        <f>'Test 2'!I13</f>
        <v>INVALID ENTRY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3"/>
        <v>NO SUPP</v>
      </c>
      <c r="H35" s="74" t="str">
        <f t="shared" si="4"/>
        <v>PASS</v>
      </c>
      <c r="I35" s="74" t="str">
        <f t="shared" si="5"/>
        <v>B-</v>
      </c>
      <c r="J35" s="89">
        <f t="shared" si="6"/>
        <v>0.61690909090909085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7"/>
        <v>0.56818181818181823</v>
      </c>
      <c r="M35" s="74">
        <f t="shared" si="2"/>
        <v>62.5</v>
      </c>
      <c r="N35" s="75" t="str">
        <f>'Test 1'!I14</f>
        <v>INVALID MARK</v>
      </c>
      <c r="O35" s="75">
        <f>'Test 2'!I14</f>
        <v>18.5</v>
      </c>
      <c r="P35" s="75">
        <f>'Oral Assignment 1'!I14</f>
        <v>13</v>
      </c>
      <c r="Q35" s="75">
        <f>'Test 4'!I14</f>
        <v>31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3"/>
        <v>NO SUPP</v>
      </c>
      <c r="H36" s="74" t="str">
        <f t="shared" si="4"/>
        <v>PASS</v>
      </c>
      <c r="I36" s="74" t="str">
        <f t="shared" si="5"/>
        <v>B</v>
      </c>
      <c r="J36" s="89">
        <f t="shared" si="6"/>
        <v>0.69290909090909092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7"/>
        <v>0.61818181818181817</v>
      </c>
      <c r="M36" s="74">
        <f t="shared" si="2"/>
        <v>68</v>
      </c>
      <c r="N36" s="75">
        <f>'Test 1'!I15</f>
        <v>9</v>
      </c>
      <c r="O36" s="75">
        <f>'Test 2'!I15</f>
        <v>14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3"/>
        <v>NO SUPP</v>
      </c>
      <c r="H37" s="74" t="str">
        <f t="shared" si="4"/>
        <v>PASS</v>
      </c>
      <c r="I37" s="74" t="str">
        <f t="shared" si="5"/>
        <v>B+</v>
      </c>
      <c r="J37" s="89">
        <f t="shared" si="6"/>
        <v>0.74163636363636365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7"/>
        <v>0.72272727272727277</v>
      </c>
      <c r="M37" s="74">
        <f t="shared" si="2"/>
        <v>79.5</v>
      </c>
      <c r="N37" s="75">
        <f>'Test 1'!I16</f>
        <v>10</v>
      </c>
      <c r="O37" s="75">
        <f>'Test 2'!I16</f>
        <v>21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3"/>
        <v>NO SUPP</v>
      </c>
      <c r="H38" s="74" t="str">
        <f t="shared" si="4"/>
        <v>PASS</v>
      </c>
      <c r="I38" s="74" t="str">
        <f t="shared" si="5"/>
        <v>B+</v>
      </c>
      <c r="J38" s="89">
        <f t="shared" si="6"/>
        <v>0.62781818181818172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7"/>
        <v>0.58636363636363631</v>
      </c>
      <c r="M38" s="74">
        <f t="shared" si="2"/>
        <v>64.5</v>
      </c>
      <c r="N38" s="75">
        <f>'Test 1'!I17</f>
        <v>7</v>
      </c>
      <c r="O38" s="75">
        <f>'Test 2'!I17</f>
        <v>18.499999999999996</v>
      </c>
      <c r="P38" s="75" t="str">
        <f>'Oral Assignment 1'!I17</f>
        <v>INVALID MARK</v>
      </c>
      <c r="Q38" s="75">
        <f>'Test 4'!I17</f>
        <v>39</v>
      </c>
    </row>
  </sheetData>
  <dataConsolidate/>
  <mergeCells count="13">
    <mergeCell ref="F8:I8"/>
    <mergeCell ref="F7:I7"/>
    <mergeCell ref="F3:I6"/>
    <mergeCell ref="F13:I13"/>
    <mergeCell ref="F12:I12"/>
    <mergeCell ref="F11:I11"/>
    <mergeCell ref="F10:I10"/>
    <mergeCell ref="K19:L19"/>
    <mergeCell ref="K14:L14"/>
    <mergeCell ref="K15:L15"/>
    <mergeCell ref="K16:L16"/>
    <mergeCell ref="K17:L17"/>
    <mergeCell ref="K18:L18"/>
  </mergeCells>
  <conditionalFormatting sqref="G28">
    <cfRule type="containsText" dxfId="164" priority="7374" operator="containsText" text="WRITE SUPP">
      <formula>NOT(ISERROR(SEARCH("WRITE SUPP",G28)))</formula>
    </cfRule>
  </conditionalFormatting>
  <conditionalFormatting sqref="K28:K38">
    <cfRule type="containsText" dxfId="163" priority="3793" operator="containsText" text="MISSING MARK">
      <formula>NOT(ISERROR(SEARCH("MISSING MARK",K28)))</formula>
    </cfRule>
    <cfRule type="containsText" dxfId="162" priority="7370" operator="containsText" text="INVALID MARK">
      <formula>NOT(ISERROR(SEARCH("INVALID MARK",K28)))</formula>
    </cfRule>
    <cfRule type="cellIs" dxfId="161" priority="7377" operator="lessThan">
      <formula>$D$12</formula>
    </cfRule>
    <cfRule type="cellIs" priority="7378" operator="greaterThanOrEqual">
      <formula>$D$12</formula>
    </cfRule>
    <cfRule type="expression" dxfId="160" priority="7379">
      <formula>"&gt;=$D$10"</formula>
    </cfRule>
  </conditionalFormatting>
  <conditionalFormatting sqref="N28:N38">
    <cfRule type="containsText" dxfId="159" priority="7371" operator="containsText" text="INVALID MARK">
      <formula>NOT(ISERROR(SEARCH("INVALID MARK",N28)))</formula>
    </cfRule>
    <cfRule type="containsText" dxfId="158" priority="7372" operator="containsText" text="INVALID ENTRY">
      <formula>NOT(ISERROR(SEARCH("INVALID ENTRY",N28)))</formula>
    </cfRule>
    <cfRule type="containsText" dxfId="157" priority="7373" operator="containsText" text="MISSING MARK">
      <formula>NOT(ISERROR(SEARCH("MISSING MARK",N28)))</formula>
    </cfRule>
  </conditionalFormatting>
  <conditionalFormatting sqref="H28">
    <cfRule type="containsText" dxfId="156" priority="7369" operator="containsText" text="FAIL">
      <formula>NOT(ISERROR(SEARCH("FAIL",H28)))</formula>
    </cfRule>
  </conditionalFormatting>
  <conditionalFormatting sqref="G29:G31">
    <cfRule type="containsText" dxfId="155" priority="3933" operator="containsText" text="WRITE SUPP">
      <formula>NOT(ISERROR(SEARCH("WRITE SUPP",G29)))</formula>
    </cfRule>
  </conditionalFormatting>
  <conditionalFormatting sqref="J28:J37">
    <cfRule type="cellIs" dxfId="154" priority="3935" operator="lessThan">
      <formula>$D$10</formula>
    </cfRule>
  </conditionalFormatting>
  <conditionalFormatting sqref="H29:H31">
    <cfRule type="containsText" dxfId="153" priority="3928" operator="containsText" text="FAIL">
      <formula>NOT(ISERROR(SEARCH("FAIL",H29)))</formula>
    </cfRule>
  </conditionalFormatting>
  <conditionalFormatting sqref="O28">
    <cfRule type="containsText" dxfId="152" priority="3921" operator="containsText" text="INVALID MARK">
      <formula>NOT(ISERROR(SEARCH("INVALID MARK",O28)))</formula>
    </cfRule>
    <cfRule type="containsText" dxfId="151" priority="3922" operator="containsText" text="INVALID ENTRY">
      <formula>NOT(ISERROR(SEARCH("INVALID ENTRY",O28)))</formula>
    </cfRule>
    <cfRule type="containsText" dxfId="150" priority="3923" operator="containsText" text="MISSING MARK">
      <formula>NOT(ISERROR(SEARCH("MISSING MARK",O28)))</formula>
    </cfRule>
  </conditionalFormatting>
  <conditionalFormatting sqref="O29:O31">
    <cfRule type="containsText" dxfId="149" priority="3918" operator="containsText" text="INVALID MARK">
      <formula>NOT(ISERROR(SEARCH("INVALID MARK",O29)))</formula>
    </cfRule>
    <cfRule type="containsText" dxfId="148" priority="3919" operator="containsText" text="INVALID ENTRY">
      <formula>NOT(ISERROR(SEARCH("INVALID ENTRY",O29)))</formula>
    </cfRule>
    <cfRule type="containsText" dxfId="147" priority="3920" operator="containsText" text="MISSING MARK">
      <formula>NOT(ISERROR(SEARCH("MISSING MARK",O29)))</formula>
    </cfRule>
  </conditionalFormatting>
  <conditionalFormatting sqref="P28">
    <cfRule type="containsText" dxfId="146" priority="3915" operator="containsText" text="INVALID MARK">
      <formula>NOT(ISERROR(SEARCH("INVALID MARK",P28)))</formula>
    </cfRule>
    <cfRule type="containsText" dxfId="145" priority="3916" operator="containsText" text="INVALID ENTRY">
      <formula>NOT(ISERROR(SEARCH("INVALID ENTRY",P28)))</formula>
    </cfRule>
    <cfRule type="containsText" dxfId="144" priority="3917" operator="containsText" text="MISSING MARK">
      <formula>NOT(ISERROR(SEARCH("MISSING MARK",P28)))</formula>
    </cfRule>
  </conditionalFormatting>
  <conditionalFormatting sqref="P29:P31">
    <cfRule type="containsText" dxfId="143" priority="3912" operator="containsText" text="INVALID MARK">
      <formula>NOT(ISERROR(SEARCH("INVALID MARK",P29)))</formula>
    </cfRule>
    <cfRule type="containsText" dxfId="142" priority="3913" operator="containsText" text="INVALID ENTRY">
      <formula>NOT(ISERROR(SEARCH("INVALID ENTRY",P29)))</formula>
    </cfRule>
    <cfRule type="containsText" dxfId="141" priority="3914" operator="containsText" text="MISSING MARK">
      <formula>NOT(ISERROR(SEARCH("MISSING MARK",P29)))</formula>
    </cfRule>
  </conditionalFormatting>
  <conditionalFormatting sqref="Q28">
    <cfRule type="containsText" dxfId="140" priority="3903" operator="containsText" text="INVALID MARK">
      <formula>NOT(ISERROR(SEARCH("INVALID MARK",Q28)))</formula>
    </cfRule>
    <cfRule type="containsText" dxfId="139" priority="3904" operator="containsText" text="INVALID ENTRY">
      <formula>NOT(ISERROR(SEARCH("INVALID ENTRY",Q28)))</formula>
    </cfRule>
    <cfRule type="containsText" dxfId="138" priority="3905" operator="containsText" text="MISSING MARK">
      <formula>NOT(ISERROR(SEARCH("MISSING MARK",Q28)))</formula>
    </cfRule>
  </conditionalFormatting>
  <conditionalFormatting sqref="Q29:Q31">
    <cfRule type="containsText" dxfId="137" priority="3900" operator="containsText" text="INVALID MARK">
      <formula>NOT(ISERROR(SEARCH("INVALID MARK",Q29)))</formula>
    </cfRule>
    <cfRule type="containsText" dxfId="136" priority="3901" operator="containsText" text="INVALID ENTRY">
      <formula>NOT(ISERROR(SEARCH("INVALID ENTRY",Q29)))</formula>
    </cfRule>
    <cfRule type="containsText" dxfId="135" priority="3902" operator="containsText" text="MISSING MARK">
      <formula>NOT(ISERROR(SEARCH("MISSING MARK",Q29)))</formula>
    </cfRule>
  </conditionalFormatting>
  <conditionalFormatting sqref="G32:G36">
    <cfRule type="containsText" dxfId="134" priority="3894" operator="containsText" text="WRITE SUPP">
      <formula>NOT(ISERROR(SEARCH("WRITE SUPP",G32)))</formula>
    </cfRule>
  </conditionalFormatting>
  <conditionalFormatting sqref="H32:H36">
    <cfRule type="containsText" dxfId="133" priority="3889" operator="containsText" text="FAIL">
      <formula>NOT(ISERROR(SEARCH("FAIL",H32)))</formula>
    </cfRule>
  </conditionalFormatting>
  <conditionalFormatting sqref="O32:O36">
    <cfRule type="containsText" dxfId="132" priority="3882" operator="containsText" text="INVALID MARK">
      <formula>NOT(ISERROR(SEARCH("INVALID MARK",O32)))</formula>
    </cfRule>
    <cfRule type="containsText" dxfId="131" priority="3883" operator="containsText" text="INVALID ENTRY">
      <formula>NOT(ISERROR(SEARCH("INVALID ENTRY",O32)))</formula>
    </cfRule>
    <cfRule type="containsText" dxfId="130" priority="3884" operator="containsText" text="MISSING MARK">
      <formula>NOT(ISERROR(SEARCH("MISSING MARK",O32)))</formula>
    </cfRule>
  </conditionalFormatting>
  <conditionalFormatting sqref="P32:P36">
    <cfRule type="containsText" dxfId="129" priority="3879" operator="containsText" text="INVALID MARK">
      <formula>NOT(ISERROR(SEARCH("INVALID MARK",P32)))</formula>
    </cfRule>
    <cfRule type="containsText" dxfId="128" priority="3880" operator="containsText" text="INVALID ENTRY">
      <formula>NOT(ISERROR(SEARCH("INVALID ENTRY",P32)))</formula>
    </cfRule>
    <cfRule type="containsText" dxfId="127" priority="3881" operator="containsText" text="MISSING MARK">
      <formula>NOT(ISERROR(SEARCH("MISSING MARK",P32)))</formula>
    </cfRule>
  </conditionalFormatting>
  <conditionalFormatting sqref="Q32:Q36">
    <cfRule type="containsText" dxfId="126" priority="3876" operator="containsText" text="INVALID MARK">
      <formula>NOT(ISERROR(SEARCH("INVALID MARK",Q32)))</formula>
    </cfRule>
    <cfRule type="containsText" dxfId="125" priority="3877" operator="containsText" text="INVALID ENTRY">
      <formula>NOT(ISERROR(SEARCH("INVALID ENTRY",Q32)))</formula>
    </cfRule>
    <cfRule type="containsText" dxfId="124" priority="3878" operator="containsText" text="MISSING MARK">
      <formula>NOT(ISERROR(SEARCH("MISSING MARK",Q32)))</formula>
    </cfRule>
  </conditionalFormatting>
  <conditionalFormatting sqref="G37">
    <cfRule type="containsText" dxfId="123" priority="3861" operator="containsText" text="WRITE SUPP">
      <formula>NOT(ISERROR(SEARCH("WRITE SUPP",G37)))</formula>
    </cfRule>
  </conditionalFormatting>
  <conditionalFormatting sqref="H37">
    <cfRule type="containsText" dxfId="122" priority="3856" operator="containsText" text="FAIL">
      <formula>NOT(ISERROR(SEARCH("FAIL",H37)))</formula>
    </cfRule>
  </conditionalFormatting>
  <conditionalFormatting sqref="O37">
    <cfRule type="containsText" dxfId="121" priority="3849" operator="containsText" text="INVALID MARK">
      <formula>NOT(ISERROR(SEARCH("INVALID MARK",O37)))</formula>
    </cfRule>
    <cfRule type="containsText" dxfId="120" priority="3850" operator="containsText" text="INVALID ENTRY">
      <formula>NOT(ISERROR(SEARCH("INVALID ENTRY",O37)))</formula>
    </cfRule>
    <cfRule type="containsText" dxfId="119" priority="3851" operator="containsText" text="MISSING MARK">
      <formula>NOT(ISERROR(SEARCH("MISSING MARK",O37)))</formula>
    </cfRule>
  </conditionalFormatting>
  <conditionalFormatting sqref="P37">
    <cfRule type="containsText" dxfId="118" priority="3846" operator="containsText" text="INVALID MARK">
      <formula>NOT(ISERROR(SEARCH("INVALID MARK",P37)))</formula>
    </cfRule>
    <cfRule type="containsText" dxfId="117" priority="3847" operator="containsText" text="INVALID ENTRY">
      <formula>NOT(ISERROR(SEARCH("INVALID ENTRY",P37)))</formula>
    </cfRule>
    <cfRule type="containsText" dxfId="116" priority="3848" operator="containsText" text="MISSING MARK">
      <formula>NOT(ISERROR(SEARCH("MISSING MARK",P37)))</formula>
    </cfRule>
  </conditionalFormatting>
  <conditionalFormatting sqref="Q37">
    <cfRule type="containsText" dxfId="115" priority="3843" operator="containsText" text="INVALID MARK">
      <formula>NOT(ISERROR(SEARCH("INVALID MARK",Q37)))</formula>
    </cfRule>
    <cfRule type="containsText" dxfId="114" priority="3844" operator="containsText" text="INVALID ENTRY">
      <formula>NOT(ISERROR(SEARCH("INVALID ENTRY",Q37)))</formula>
    </cfRule>
    <cfRule type="containsText" dxfId="113" priority="3845" operator="containsText" text="MISSING MARK">
      <formula>NOT(ISERROR(SEARCH("MISSING MARK",Q37)))</formula>
    </cfRule>
  </conditionalFormatting>
  <conditionalFormatting sqref="J38">
    <cfRule type="cellIs" dxfId="112" priority="3763" operator="lessThan">
      <formula>$D$10</formula>
    </cfRule>
  </conditionalFormatting>
  <conditionalFormatting sqref="G38">
    <cfRule type="containsText" dxfId="111" priority="3761" operator="containsText" text="WRITE SUPP">
      <formula>NOT(ISERROR(SEARCH("WRITE SUPP",G38)))</formula>
    </cfRule>
  </conditionalFormatting>
  <conditionalFormatting sqref="H38">
    <cfRule type="containsText" dxfId="110" priority="3757" operator="containsText" text="FAIL">
      <formula>NOT(ISERROR(SEARCH("FAIL",H38)))</formula>
    </cfRule>
  </conditionalFormatting>
  <conditionalFormatting sqref="O38">
    <cfRule type="containsText" dxfId="109" priority="3750" operator="containsText" text="INVALID MARK">
      <formula>NOT(ISERROR(SEARCH("INVALID MARK",O38)))</formula>
    </cfRule>
    <cfRule type="containsText" dxfId="108" priority="3751" operator="containsText" text="INVALID ENTRY">
      <formula>NOT(ISERROR(SEARCH("INVALID ENTRY",O38)))</formula>
    </cfRule>
    <cfRule type="containsText" dxfId="107" priority="3752" operator="containsText" text="MISSING MARK">
      <formula>NOT(ISERROR(SEARCH("MISSING MARK",O38)))</formula>
    </cfRule>
  </conditionalFormatting>
  <conditionalFormatting sqref="P38">
    <cfRule type="containsText" dxfId="106" priority="3747" operator="containsText" text="INVALID MARK">
      <formula>NOT(ISERROR(SEARCH("INVALID MARK",P38)))</formula>
    </cfRule>
    <cfRule type="containsText" dxfId="105" priority="3748" operator="containsText" text="INVALID ENTRY">
      <formula>NOT(ISERROR(SEARCH("INVALID ENTRY",P38)))</formula>
    </cfRule>
    <cfRule type="containsText" dxfId="104" priority="3749" operator="containsText" text="MISSING MARK">
      <formula>NOT(ISERROR(SEARCH("MISSING MARK",P38)))</formula>
    </cfRule>
  </conditionalFormatting>
  <conditionalFormatting sqref="Q38">
    <cfRule type="containsText" dxfId="103" priority="3744" operator="containsText" text="INVALID MARK">
      <formula>NOT(ISERROR(SEARCH("INVALID MARK",Q38)))</formula>
    </cfRule>
    <cfRule type="containsText" dxfId="102" priority="3745" operator="containsText" text="INVALID ENTRY">
      <formula>NOT(ISERROR(SEARCH("INVALID ENTRY",Q38)))</formula>
    </cfRule>
    <cfRule type="containsText" dxfId="101" priority="3746" operator="containsText" text="MISSING MARK">
      <formula>NOT(ISERROR(SEARCH("MISSING MARK",Q38)))</formula>
    </cfRule>
  </conditionalFormatting>
  <conditionalFormatting sqref="K28:K38">
    <cfRule type="containsText" dxfId="100" priority="2612" operator="containsText" text="INVALID ENTRY">
      <formula>NOT(ISERROR(SEARCH("INVALID ENTRY",K28)))</formula>
    </cfRule>
  </conditionalFormatting>
  <conditionalFormatting sqref="I28:I38">
    <cfRule type="cellIs" dxfId="99" priority="1450" operator="equal">
      <formula>$L$11</formula>
    </cfRule>
    <cfRule type="cellIs" dxfId="98" priority="1452" operator="equal">
      <formula>$L$9</formula>
    </cfRule>
    <cfRule type="cellIs" dxfId="97" priority="1466" operator="equal">
      <formula>$L$8</formula>
    </cfRule>
    <cfRule type="cellIs" dxfId="96" priority="1468" operator="equal">
      <formula>$L$6</formula>
    </cfRule>
    <cfRule type="cellIs" dxfId="95" priority="1469" operator="equal">
      <formula>$L$5</formula>
    </cfRule>
    <cfRule type="cellIs" dxfId="94" priority="1474" operator="equal">
      <formula>$L$4</formula>
    </cfRule>
  </conditionalFormatting>
  <conditionalFormatting sqref="I28:I38">
    <cfRule type="cellIs" dxfId="93" priority="1448" operator="equal">
      <formula>$L$13</formula>
    </cfRule>
    <cfRule type="cellIs" dxfId="92" priority="1449" operator="equal">
      <formula>$L$12</formula>
    </cfRule>
    <cfRule type="cellIs" dxfId="91" priority="1451" operator="equal">
      <formula>$L$10</formula>
    </cfRule>
    <cfRule type="cellIs" dxfId="90" priority="1467" operator="equal">
      <formula>$L$7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35 F36 F38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" si="1">IF(K7/K$6-J7&gt;=0, K7/K$6-J7, 0)</f>
        <v>0.4</v>
      </c>
      <c r="I7" s="20">
        <f t="shared" ref="I7:I17" si="2">ERROR_CHECK_MARK(L7:U7,L$6:U$6,H7,K$6)</f>
        <v>4</v>
      </c>
      <c r="J7" s="28">
        <v>0</v>
      </c>
      <c r="K7" s="24">
        <f t="shared" ref="K7" si="3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ref="H8:H10" si="5">IF(K8/K$6-J8&gt;=0, K8/K$6-J8, 0)</f>
        <v>0.8</v>
      </c>
      <c r="I8" s="20">
        <f t="shared" si="2"/>
        <v>8</v>
      </c>
      <c r="J8" s="28">
        <v>0</v>
      </c>
      <c r="K8" s="24">
        <f t="shared" ref="K8:K10" si="6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5"/>
        <v>0.4</v>
      </c>
      <c r="I9" s="20">
        <f t="shared" si="2"/>
        <v>4</v>
      </c>
      <c r="J9" s="28">
        <v>0</v>
      </c>
      <c r="K9" s="24">
        <f t="shared" si="6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5"/>
        <v>0.5</v>
      </c>
      <c r="I10" s="20">
        <f t="shared" si="2"/>
        <v>5</v>
      </c>
      <c r="J10" s="28">
        <v>0</v>
      </c>
      <c r="K10" s="24">
        <f t="shared" si="6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7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8">IF(K11/K$6-J11&gt;=0, K11/K$6-J11, 0)</f>
        <v>0.6</v>
      </c>
      <c r="I11" s="20">
        <f t="shared" si="2"/>
        <v>6</v>
      </c>
      <c r="J11" s="28">
        <v>0</v>
      </c>
      <c r="K11" s="24">
        <f t="shared" ref="K11:K15" si="9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7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8"/>
        <v>0.35000000000000003</v>
      </c>
      <c r="I12" s="20">
        <f t="shared" si="2"/>
        <v>3.5000000000000004</v>
      </c>
      <c r="J12" s="28">
        <v>0.05</v>
      </c>
      <c r="K12" s="24">
        <f t="shared" si="9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7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8"/>
        <v>0.6</v>
      </c>
      <c r="I13" s="20">
        <f t="shared" si="2"/>
        <v>6</v>
      </c>
      <c r="J13" s="28">
        <v>0</v>
      </c>
      <c r="K13" s="24">
        <f t="shared" si="9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7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8"/>
        <v>5.6</v>
      </c>
      <c r="I14" s="20" t="str">
        <f t="shared" si="2"/>
        <v>INVALID MARK</v>
      </c>
      <c r="J14" s="28">
        <v>0</v>
      </c>
      <c r="K14" s="24">
        <f t="shared" si="9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7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8"/>
        <v>0.9</v>
      </c>
      <c r="I15" s="20">
        <f t="shared" si="2"/>
        <v>9</v>
      </c>
      <c r="J15" s="28">
        <v>0</v>
      </c>
      <c r="K15" s="24">
        <f t="shared" si="9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10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11">IF(K16/K$6-J16&gt;=0, K16/K$6-J16, 0)</f>
        <v>1</v>
      </c>
      <c r="I16" s="20">
        <f t="shared" si="2"/>
        <v>10</v>
      </c>
      <c r="J16" s="28">
        <v>0</v>
      </c>
      <c r="K16" s="24">
        <f t="shared" ref="K16" si="12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3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4">IF(K17/K$6-J17&gt;=0, K17/K$6-J17, 0)</f>
        <v>0.7</v>
      </c>
      <c r="I17" s="20">
        <f t="shared" si="2"/>
        <v>7</v>
      </c>
      <c r="J17" s="28">
        <v>0</v>
      </c>
      <c r="K17" s="24">
        <f t="shared" ref="K17" si="15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89" priority="556" operator="containsText" text="INVALID MARK">
      <formula>NOT(ISERROR(SEARCH("INVALID MARK",I7)))</formula>
    </cfRule>
    <cfRule type="containsText" dxfId="88" priority="557" operator="containsText" text="INVALID ENTRY">
      <formula>NOT(ISERROR(SEARCH("INVALID ENTRY",I7)))</formula>
    </cfRule>
    <cfRule type="containsText" dxfId="87" priority="558" operator="containsText" text="MISSING MARK">
      <formula>NOT(ISERROR(SEARCH("MISSING MARK",I7)))</formula>
    </cfRule>
  </conditionalFormatting>
  <conditionalFormatting sqref="D7">
    <cfRule type="containsText" dxfId="86" priority="386" operator="containsText" text="FAIL">
      <formula>NOT(ISERROR(SEARCH("FAIL",D7)))</formula>
    </cfRule>
    <cfRule type="containsText" dxfId="85" priority="387" operator="containsText" text="PASS">
      <formula>NOT(ISERROR(SEARCH("PASS",D7)))</formula>
    </cfRule>
  </conditionalFormatting>
  <conditionalFormatting sqref="D8:D10">
    <cfRule type="containsText" dxfId="84" priority="371" operator="containsText" text="FAIL">
      <formula>NOT(ISERROR(SEARCH("FAIL",D8)))</formula>
    </cfRule>
    <cfRule type="containsText" dxfId="83" priority="372" operator="containsText" text="PASS">
      <formula>NOT(ISERROR(SEARCH("PASS",D8)))</formula>
    </cfRule>
  </conditionalFormatting>
  <conditionalFormatting sqref="D11:D15">
    <cfRule type="containsText" dxfId="82" priority="366" operator="containsText" text="FAIL">
      <formula>NOT(ISERROR(SEARCH("FAIL",D11)))</formula>
    </cfRule>
    <cfRule type="containsText" dxfId="81" priority="367" operator="containsText" text="PASS">
      <formula>NOT(ISERROR(SEARCH("PASS",D11)))</formula>
    </cfRule>
  </conditionalFormatting>
  <conditionalFormatting sqref="D16">
    <cfRule type="containsText" dxfId="80" priority="361" operator="containsText" text="FAIL">
      <formula>NOT(ISERROR(SEARCH("FAIL",D16)))</formula>
    </cfRule>
    <cfRule type="containsText" dxfId="79" priority="362" operator="containsText" text="PASS">
      <formula>NOT(ISERROR(SEARCH("PASS",D16)))</formula>
    </cfRule>
  </conditionalFormatting>
  <conditionalFormatting sqref="D17">
    <cfRule type="containsText" dxfId="78" priority="341" operator="containsText" text="FAIL">
      <formula>NOT(ISERROR(SEARCH("FAIL",D17)))</formula>
    </cfRule>
    <cfRule type="containsText" dxfId="77" priority="34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0.68333333333333335</v>
      </c>
      <c r="I7" s="20">
        <f t="shared" ref="I7:I17" si="2">ERROR_CHECK_MARK(L7:U7,L$6:U$6,H7,K$6)</f>
        <v>20.5</v>
      </c>
      <c r="J7" s="28">
        <v>0</v>
      </c>
      <c r="K7" s="24">
        <f t="shared" ref="K7:K10" si="3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0.85</v>
      </c>
      <c r="I8" s="20">
        <f t="shared" si="2"/>
        <v>25.5</v>
      </c>
      <c r="J8" s="28">
        <v>0</v>
      </c>
      <c r="K8" s="24">
        <f t="shared" si="3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0.35000000000000003</v>
      </c>
      <c r="I9" s="20">
        <f t="shared" si="2"/>
        <v>10.500000000000002</v>
      </c>
      <c r="J9" s="28">
        <v>0.05</v>
      </c>
      <c r="K9" s="24">
        <f t="shared" si="3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0.56666666666666665</v>
      </c>
      <c r="I10" s="20">
        <f t="shared" si="2"/>
        <v>17</v>
      </c>
      <c r="J10" s="28">
        <v>0</v>
      </c>
      <c r="K10" s="24">
        <f t="shared" si="3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0.6</v>
      </c>
      <c r="I11" s="20">
        <f t="shared" si="2"/>
        <v>18</v>
      </c>
      <c r="J11" s="28">
        <v>0</v>
      </c>
      <c r="K11" s="24">
        <f t="shared" ref="K11:K15" si="7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0.36666666666666664</v>
      </c>
      <c r="I12" s="20">
        <f t="shared" si="2"/>
        <v>11</v>
      </c>
      <c r="J12" s="28">
        <v>0</v>
      </c>
      <c r="K12" s="24">
        <f t="shared" si="7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0.41666666666666669</v>
      </c>
      <c r="I13" s="20" t="str">
        <f t="shared" si="2"/>
        <v>INVALID ENTRY</v>
      </c>
      <c r="J13" s="28">
        <v>0</v>
      </c>
      <c r="K13" s="24">
        <f t="shared" si="7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0.6166666666666667</v>
      </c>
      <c r="I14" s="20">
        <f t="shared" si="2"/>
        <v>18.5</v>
      </c>
      <c r="J14" s="28">
        <v>0</v>
      </c>
      <c r="K14" s="24">
        <f t="shared" si="7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0.46666666666666667</v>
      </c>
      <c r="I15" s="20">
        <f t="shared" si="2"/>
        <v>14</v>
      </c>
      <c r="J15" s="28">
        <v>0</v>
      </c>
      <c r="K15" s="24">
        <f t="shared" si="7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</v>
      </c>
      <c r="I16" s="20">
        <f t="shared" si="2"/>
        <v>21</v>
      </c>
      <c r="J16" s="28">
        <v>0</v>
      </c>
      <c r="K16" s="24">
        <f t="shared" ref="K16" si="10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0.61666666666666659</v>
      </c>
      <c r="I17" s="20">
        <f t="shared" si="2"/>
        <v>18.499999999999996</v>
      </c>
      <c r="J17" s="28">
        <v>0.05</v>
      </c>
      <c r="K17" s="24">
        <f t="shared" ref="K17" si="13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76" priority="378" operator="containsText" text="INVALID MARK">
      <formula>NOT(ISERROR(SEARCH("INVALID MARK",I7)))</formula>
    </cfRule>
    <cfRule type="containsText" dxfId="75" priority="379" operator="containsText" text="INVALID ENTRY">
      <formula>NOT(ISERROR(SEARCH("INVALID ENTRY",I7)))</formula>
    </cfRule>
    <cfRule type="containsText" dxfId="74" priority="380" operator="containsText" text="MISSING MARK">
      <formula>NOT(ISERROR(SEARCH("MISSING MARK",I7)))</formula>
    </cfRule>
  </conditionalFormatting>
  <conditionalFormatting sqref="D7">
    <cfRule type="containsText" dxfId="73" priority="376" operator="containsText" text="FAIL">
      <formula>NOT(ISERROR(SEARCH("FAIL",D7)))</formula>
    </cfRule>
    <cfRule type="containsText" dxfId="72" priority="377" operator="containsText" text="PASS">
      <formula>NOT(ISERROR(SEARCH("PASS",D7)))</formula>
    </cfRule>
  </conditionalFormatting>
  <conditionalFormatting sqref="D8:D10">
    <cfRule type="containsText" dxfId="71" priority="371" operator="containsText" text="FAIL">
      <formula>NOT(ISERROR(SEARCH("FAIL",D8)))</formula>
    </cfRule>
    <cfRule type="containsText" dxfId="70" priority="372" operator="containsText" text="PASS">
      <formula>NOT(ISERROR(SEARCH("PASS",D8)))</formula>
    </cfRule>
  </conditionalFormatting>
  <conditionalFormatting sqref="D11:D15">
    <cfRule type="containsText" dxfId="69" priority="366" operator="containsText" text="FAIL">
      <formula>NOT(ISERROR(SEARCH("FAIL",D11)))</formula>
    </cfRule>
    <cfRule type="containsText" dxfId="68" priority="367" operator="containsText" text="PASS">
      <formula>NOT(ISERROR(SEARCH("PASS",D11)))</formula>
    </cfRule>
  </conditionalFormatting>
  <conditionalFormatting sqref="D16">
    <cfRule type="containsText" dxfId="67" priority="361" operator="containsText" text="FAIL">
      <formula>NOT(ISERROR(SEARCH("FAIL",D16)))</formula>
    </cfRule>
    <cfRule type="containsText" dxfId="66" priority="362" operator="containsText" text="PASS">
      <formula>NOT(ISERROR(SEARCH("PASS",D16)))</formula>
    </cfRule>
  </conditionalFormatting>
  <conditionalFormatting sqref="D17">
    <cfRule type="containsText" dxfId="65" priority="341" operator="containsText" text="FAIL">
      <formula>NOT(ISERROR(SEARCH("FAIL",D17)))</formula>
    </cfRule>
    <cfRule type="containsText" dxfId="64" priority="34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17"/>
  <sheetViews>
    <sheetView workbookViewId="0">
      <selection activeCell="J23" sqref="J23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0.8</v>
      </c>
      <c r="I7" s="20">
        <f t="shared" ref="I7:I17" si="2">ERROR_CHECK_MARK(L7:U7,L$6:U$6,H7,K$6)</f>
        <v>16</v>
      </c>
      <c r="J7" s="28">
        <v>0</v>
      </c>
      <c r="K7" s="24">
        <f t="shared" ref="K7:K10" si="3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0.95</v>
      </c>
      <c r="I8" s="20">
        <f t="shared" si="2"/>
        <v>19</v>
      </c>
      <c r="J8" s="28">
        <v>0</v>
      </c>
      <c r="K8" s="24">
        <f t="shared" si="3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0.45</v>
      </c>
      <c r="I9" s="20">
        <f t="shared" si="2"/>
        <v>9</v>
      </c>
      <c r="J9" s="28">
        <v>0</v>
      </c>
      <c r="K9" s="24">
        <f t="shared" si="3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0.55000000000000004</v>
      </c>
      <c r="I10" s="20">
        <f t="shared" si="2"/>
        <v>11</v>
      </c>
      <c r="J10" s="28">
        <v>0</v>
      </c>
      <c r="K10" s="24">
        <f t="shared" si="3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0.95</v>
      </c>
      <c r="I11" s="20">
        <f t="shared" si="2"/>
        <v>19</v>
      </c>
      <c r="J11" s="28">
        <v>0</v>
      </c>
      <c r="K11" s="24">
        <f t="shared" ref="K11:K15" si="7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0.55000000000000004</v>
      </c>
      <c r="I12" s="20">
        <f t="shared" si="2"/>
        <v>11</v>
      </c>
      <c r="J12" s="28">
        <v>0</v>
      </c>
      <c r="K12" s="24">
        <f t="shared" si="7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0.6</v>
      </c>
      <c r="I13" s="20">
        <f t="shared" si="2"/>
        <v>12</v>
      </c>
      <c r="J13" s="28">
        <v>0</v>
      </c>
      <c r="K13" s="24">
        <f t="shared" si="7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0.65</v>
      </c>
      <c r="I14" s="20">
        <f t="shared" si="2"/>
        <v>13</v>
      </c>
      <c r="J14" s="28">
        <v>0</v>
      </c>
      <c r="K14" s="24">
        <f t="shared" si="7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0.65</v>
      </c>
      <c r="I15" s="20" t="str">
        <f t="shared" si="2"/>
        <v>MISSING MARK</v>
      </c>
      <c r="J15" s="28">
        <v>0</v>
      </c>
      <c r="K15" s="24">
        <f t="shared" si="7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0.625</v>
      </c>
      <c r="I16" s="20">
        <f t="shared" si="2"/>
        <v>12.5</v>
      </c>
      <c r="J16" s="28">
        <v>0</v>
      </c>
      <c r="K16" s="24">
        <f t="shared" ref="K16" si="10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1.05</v>
      </c>
      <c r="I17" s="20" t="str">
        <f t="shared" si="2"/>
        <v>INVALID MARK</v>
      </c>
      <c r="J17" s="28">
        <v>0</v>
      </c>
      <c r="K17" s="24">
        <f t="shared" ref="K17" si="13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dataConsolidate/>
  <mergeCells count="1">
    <mergeCell ref="F4:G4"/>
  </mergeCells>
  <conditionalFormatting sqref="I7:I17">
    <cfRule type="containsText" dxfId="63" priority="378" operator="containsText" text="INVALID MARK">
      <formula>NOT(ISERROR(SEARCH("INVALID MARK",I7)))</formula>
    </cfRule>
    <cfRule type="containsText" dxfId="62" priority="379" operator="containsText" text="INVALID ENTRY">
      <formula>NOT(ISERROR(SEARCH("INVALID ENTRY",I7)))</formula>
    </cfRule>
    <cfRule type="containsText" dxfId="61" priority="380" operator="containsText" text="MISSING MARK">
      <formula>NOT(ISERROR(SEARCH("MISSING MARK",I7)))</formula>
    </cfRule>
  </conditionalFormatting>
  <conditionalFormatting sqref="D7">
    <cfRule type="containsText" dxfId="60" priority="376" operator="containsText" text="FAIL">
      <formula>NOT(ISERROR(SEARCH("FAIL",D7)))</formula>
    </cfRule>
    <cfRule type="containsText" dxfId="59" priority="377" operator="containsText" text="PASS">
      <formula>NOT(ISERROR(SEARCH("PASS",D7)))</formula>
    </cfRule>
  </conditionalFormatting>
  <conditionalFormatting sqref="D8:D10">
    <cfRule type="containsText" dxfId="58" priority="371" operator="containsText" text="FAIL">
      <formula>NOT(ISERROR(SEARCH("FAIL",D8)))</formula>
    </cfRule>
    <cfRule type="containsText" dxfId="57" priority="372" operator="containsText" text="PASS">
      <formula>NOT(ISERROR(SEARCH("PASS",D8)))</formula>
    </cfRule>
  </conditionalFormatting>
  <conditionalFormatting sqref="D11:D15">
    <cfRule type="containsText" dxfId="56" priority="366" operator="containsText" text="FAIL">
      <formula>NOT(ISERROR(SEARCH("FAIL",D11)))</formula>
    </cfRule>
    <cfRule type="containsText" dxfId="55" priority="367" operator="containsText" text="PASS">
      <formula>NOT(ISERROR(SEARCH("PASS",D11)))</formula>
    </cfRule>
  </conditionalFormatting>
  <conditionalFormatting sqref="D16">
    <cfRule type="containsText" dxfId="54" priority="361" operator="containsText" text="FAIL">
      <formula>NOT(ISERROR(SEARCH("FAIL",D16)))</formula>
    </cfRule>
    <cfRule type="containsText" dxfId="53" priority="362" operator="containsText" text="PASS">
      <formula>NOT(ISERROR(SEARCH("PASS",D16)))</formula>
    </cfRule>
  </conditionalFormatting>
  <conditionalFormatting sqref="D17">
    <cfRule type="containsText" dxfId="52" priority="341" operator="containsText" text="FAIL">
      <formula>NOT(ISERROR(SEARCH("FAIL",D17)))</formula>
    </cfRule>
    <cfRule type="containsText" dxfId="51" priority="342" operator="containsText" text="PASS">
      <formula>NOT(ISERROR(SEARCH("PASS",D17)))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17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0" si="1">IF(K7/K$6-J7&gt;=0, K7/K$6-J7, 0)</f>
        <v>0.66</v>
      </c>
      <c r="I7" s="20">
        <f t="shared" ref="I7:I17" si="2">ERROR_CHECK_MARK(L7:U7,L$6:U$6,H7,K$6)</f>
        <v>33</v>
      </c>
      <c r="J7" s="28">
        <v>0</v>
      </c>
      <c r="K7" s="24">
        <f t="shared" ref="K7:K10" si="3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4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1"/>
        <v>0.92</v>
      </c>
      <c r="I8" s="20">
        <f t="shared" si="2"/>
        <v>46</v>
      </c>
      <c r="J8" s="28">
        <v>0</v>
      </c>
      <c r="K8" s="24">
        <f t="shared" si="3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4"/>
        <v>PASS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1"/>
        <v>0.32</v>
      </c>
      <c r="I9" s="20">
        <f t="shared" si="2"/>
        <v>16</v>
      </c>
      <c r="J9" s="28">
        <v>0</v>
      </c>
      <c r="K9" s="24">
        <f t="shared" si="3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4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1"/>
        <v>0.6</v>
      </c>
      <c r="I10" s="20">
        <f t="shared" si="2"/>
        <v>30</v>
      </c>
      <c r="J10" s="28">
        <v>0</v>
      </c>
      <c r="K10" s="24">
        <f t="shared" si="3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5">IF(H11&gt;G$3, "PASS", "FAIL")</f>
        <v>PASS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ref="H11:H15" si="6">IF(K11/K$6-J11&gt;=0, K11/K$6-J11, 0)</f>
        <v>0.7</v>
      </c>
      <c r="I11" s="20">
        <f t="shared" si="2"/>
        <v>35</v>
      </c>
      <c r="J11" s="28">
        <v>0</v>
      </c>
      <c r="K11" s="24">
        <f t="shared" ref="K11:K15" si="7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5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 t="shared" si="6"/>
        <v>0.34</v>
      </c>
      <c r="I12" s="20">
        <f t="shared" si="2"/>
        <v>17</v>
      </c>
      <c r="J12" s="28">
        <v>0</v>
      </c>
      <c r="K12" s="24">
        <f t="shared" si="7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5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si="6"/>
        <v>0.94</v>
      </c>
      <c r="I13" s="20">
        <f t="shared" si="2"/>
        <v>47</v>
      </c>
      <c r="J13" s="28">
        <v>0</v>
      </c>
      <c r="K13" s="24">
        <f t="shared" si="7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5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6"/>
        <v>0.62</v>
      </c>
      <c r="I14" s="20">
        <f t="shared" si="2"/>
        <v>31</v>
      </c>
      <c r="J14" s="28">
        <v>0.1</v>
      </c>
      <c r="K14" s="24">
        <f t="shared" si="7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5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6"/>
        <v>0.9</v>
      </c>
      <c r="I15" s="20">
        <f t="shared" si="2"/>
        <v>45</v>
      </c>
      <c r="J15" s="28">
        <v>0</v>
      </c>
      <c r="K15" s="24">
        <f t="shared" si="7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8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ref="H16" si="9">IF(K16/K$6-J16&gt;=0, K16/K$6-J16, 0)</f>
        <v>0.72</v>
      </c>
      <c r="I16" s="20">
        <f t="shared" si="2"/>
        <v>36</v>
      </c>
      <c r="J16" s="28">
        <v>0</v>
      </c>
      <c r="K16" s="24">
        <f t="shared" ref="K16" si="10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1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12">IF(K17/K$6-J17&gt;=0, K17/K$6-J17, 0)</f>
        <v>0.78</v>
      </c>
      <c r="I17" s="20">
        <f t="shared" si="2"/>
        <v>39</v>
      </c>
      <c r="J17" s="28">
        <v>0</v>
      </c>
      <c r="K17" s="24">
        <f t="shared" ref="K17" si="13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</sheetData>
  <mergeCells count="1">
    <mergeCell ref="F4:G4"/>
  </mergeCells>
  <conditionalFormatting sqref="I7:I17">
    <cfRule type="containsText" dxfId="50" priority="378" operator="containsText" text="INVALID MARK">
      <formula>NOT(ISERROR(SEARCH("INVALID MARK",I7)))</formula>
    </cfRule>
    <cfRule type="containsText" dxfId="49" priority="379" operator="containsText" text="INVALID ENTRY">
      <formula>NOT(ISERROR(SEARCH("INVALID ENTRY",I7)))</formula>
    </cfRule>
    <cfRule type="containsText" dxfId="48" priority="380" operator="containsText" text="MISSING MARK">
      <formula>NOT(ISERROR(SEARCH("MISSING MARK",I7)))</formula>
    </cfRule>
  </conditionalFormatting>
  <conditionalFormatting sqref="D7">
    <cfRule type="containsText" dxfId="47" priority="376" operator="containsText" text="FAIL">
      <formula>NOT(ISERROR(SEARCH("FAIL",D7)))</formula>
    </cfRule>
    <cfRule type="containsText" dxfId="46" priority="377" operator="containsText" text="PASS">
      <formula>NOT(ISERROR(SEARCH("PASS",D7)))</formula>
    </cfRule>
  </conditionalFormatting>
  <conditionalFormatting sqref="D8:D10">
    <cfRule type="containsText" dxfId="45" priority="371" operator="containsText" text="FAIL">
      <formula>NOT(ISERROR(SEARCH("FAIL",D8)))</formula>
    </cfRule>
    <cfRule type="containsText" dxfId="44" priority="372" operator="containsText" text="PASS">
      <formula>NOT(ISERROR(SEARCH("PASS",D8)))</formula>
    </cfRule>
  </conditionalFormatting>
  <conditionalFormatting sqref="D11:D15">
    <cfRule type="containsText" dxfId="43" priority="366" operator="containsText" text="FAIL">
      <formula>NOT(ISERROR(SEARCH("FAIL",D11)))</formula>
    </cfRule>
    <cfRule type="containsText" dxfId="42" priority="367" operator="containsText" text="PASS">
      <formula>NOT(ISERROR(SEARCH("PASS",D11)))</formula>
    </cfRule>
  </conditionalFormatting>
  <conditionalFormatting sqref="D16">
    <cfRule type="containsText" dxfId="41" priority="361" operator="containsText" text="FAIL">
      <formula>NOT(ISERROR(SEARCH("FAIL",D16)))</formula>
    </cfRule>
    <cfRule type="containsText" dxfId="40" priority="362" operator="containsText" text="PASS">
      <formula>NOT(ISERROR(SEARCH("PASS",D16)))</formula>
    </cfRule>
  </conditionalFormatting>
  <conditionalFormatting sqref="D17">
    <cfRule type="containsText" dxfId="39" priority="341" operator="containsText" text="FAIL">
      <formula>NOT(ISERROR(SEARCH("FAIL",D17)))</formula>
    </cfRule>
    <cfRule type="containsText" dxfId="38" priority="34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'Front page - Marks Overview'!D12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'Front page - Marks Overview'!$D$25</f>
        <v>Student Surname</v>
      </c>
      <c r="F5" s="64" t="str">
        <f>'Front page - Marks Overview'!$E$25</f>
        <v>Student Name</v>
      </c>
      <c r="G5" s="64" t="str">
        <f>'Front page - Marks Overview'!$F$25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>SUM(L6:U6)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'Front page - Marks Overview'!D28</f>
        <v>Example</v>
      </c>
      <c r="F7" s="2" t="str">
        <f>'Front page - Marks Overview'!E28</f>
        <v>Student</v>
      </c>
      <c r="G7" s="2" t="str">
        <f>'Front page - Marks Overview'!F28</f>
        <v>01234</v>
      </c>
      <c r="H7" s="23">
        <f t="shared" ref="H7:H11" si="0">IF(K7/K$6-J7&gt;=0, K7/K$6-J7, 0)</f>
        <v>0.72499999999999998</v>
      </c>
      <c r="I7" s="20">
        <f t="shared" ref="I7:I17" si="1">ERROR_CHECK_MARK(L7:U7,L$6:U$6,H7,K$6)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'Front page - Marks Overview'!D29</f>
        <v>Diligent</v>
      </c>
      <c r="F8" s="2" t="str">
        <f>'Front page - Marks Overview'!E29</f>
        <v>Student</v>
      </c>
      <c r="G8" s="2" t="str">
        <f>'Front page - Marks Overview'!F29</f>
        <v>54321</v>
      </c>
      <c r="H8" s="23">
        <f t="shared" si="0"/>
        <v>0.87</v>
      </c>
      <c r="I8" s="20">
        <f t="shared" si="1"/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'Front page - Marks Overview'!D30</f>
        <v>Failing</v>
      </c>
      <c r="F9" s="2" t="str">
        <f>'Front page - Marks Overview'!E30</f>
        <v>I Am</v>
      </c>
      <c r="G9" s="2" t="str">
        <f>'Front page - Marks Overview'!F30</f>
        <v>13450</v>
      </c>
      <c r="H9" s="23">
        <f t="shared" si="0"/>
        <v>0.45</v>
      </c>
      <c r="I9" s="20">
        <f t="shared" si="1"/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'Front page - Marks Overview'!D31</f>
        <v>Just</v>
      </c>
      <c r="F10" s="2" t="str">
        <f>'Front page - Marks Overview'!E31</f>
        <v>Passing</v>
      </c>
      <c r="G10" s="2" t="str">
        <f>'Front page - Marks Overview'!F31</f>
        <v>05020</v>
      </c>
      <c r="H10" s="23">
        <f t="shared" si="0"/>
        <v>0.53</v>
      </c>
      <c r="I10" s="20">
        <f t="shared" si="1"/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'Front page - Marks Overview'!D32</f>
        <v>Supp</v>
      </c>
      <c r="F11" s="2" t="str">
        <f>'Front page - Marks Overview'!E32</f>
        <v>Getting A</v>
      </c>
      <c r="G11" s="2" t="str">
        <f>'Front page - Marks Overview'!F32</f>
        <v>60254</v>
      </c>
      <c r="H11" s="23">
        <f t="shared" si="0"/>
        <v>0.41</v>
      </c>
      <c r="I11" s="20">
        <f t="shared" si="1"/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'Front page - Marks Overview'!D33</f>
        <v>A Supp</v>
      </c>
      <c r="F12" s="2" t="str">
        <f>'Front page - Marks Overview'!E33</f>
        <v>Also Getting</v>
      </c>
      <c r="G12" s="2" t="str">
        <f>'Front page - Marks Overview'!F33</f>
        <v>01010</v>
      </c>
      <c r="H12" s="23">
        <f>IF(K12/K$6-J12&gt;=0, K12/K$6-J12, 0)</f>
        <v>0.65</v>
      </c>
      <c r="I12" s="20">
        <f t="shared" si="1"/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'Front page - Marks Overview'!D34</f>
        <v>Mark</v>
      </c>
      <c r="F13" s="2" t="str">
        <f>'Front page - Marks Overview'!E34</f>
        <v>Invalid</v>
      </c>
      <c r="G13" s="2" t="str">
        <f>'Front page - Marks Overview'!F34</f>
        <v>98350</v>
      </c>
      <c r="H13" s="23">
        <f t="shared" ref="H13:H16" si="5">IF(K13/K$6-J13&gt;=0, K13/K$6-J13, 0)</f>
        <v>0.57999999999999996</v>
      </c>
      <c r="I13" s="20">
        <f t="shared" si="1"/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'Front page - Marks Overview'!D35</f>
        <v>Mark</v>
      </c>
      <c r="F14" s="2" t="str">
        <f>'Front page - Marks Overview'!E35</f>
        <v>Another Invalid</v>
      </c>
      <c r="G14" s="2" t="str">
        <f>'Front page - Marks Overview'!F35</f>
        <v>10425</v>
      </c>
      <c r="H14" s="23">
        <f t="shared" si="5"/>
        <v>0.69</v>
      </c>
      <c r="I14" s="20">
        <f t="shared" si="1"/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'Front page - Marks Overview'!D36</f>
        <v>Mark</v>
      </c>
      <c r="F15" s="2" t="str">
        <f>'Front page - Marks Overview'!E36</f>
        <v>Missing</v>
      </c>
      <c r="G15" s="2" t="str">
        <f>'Front page - Marks Overview'!F36</f>
        <v>54263</v>
      </c>
      <c r="H15" s="23">
        <f t="shared" si="5"/>
        <v>0.80500000000000005</v>
      </c>
      <c r="I15" s="20">
        <f t="shared" si="1"/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'Front page - Marks Overview'!D37</f>
        <v>Student Number</v>
      </c>
      <c r="F16" s="2" t="str">
        <f>'Front page - Marks Overview'!E37</f>
        <v>Missing</v>
      </c>
      <c r="G16" s="2">
        <f>'Front page - Marks Overview'!F37</f>
        <v>0</v>
      </c>
      <c r="H16" s="23">
        <f t="shared" si="5"/>
        <v>0.77</v>
      </c>
      <c r="I16" s="20">
        <f t="shared" si="1"/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'Front page - Marks Overview'!D38</f>
        <v>Marks</v>
      </c>
      <c r="F17" s="2" t="str">
        <f>'Front page - Marks Overview'!E38</f>
        <v>Invalid &amp; missing</v>
      </c>
      <c r="G17" s="2" t="str">
        <f>'Front page - Marks Overview'!F38</f>
        <v>96452</v>
      </c>
      <c r="H17" s="23">
        <f t="shared" ref="H17" si="8">IF(K17/K$6-J17&gt;=0, K17/K$6-J17, 0)</f>
        <v>0.69</v>
      </c>
      <c r="I17" s="20">
        <f t="shared" si="1"/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37" priority="684" operator="containsText" text="INVALID MARK">
      <formula>NOT(ISERROR(SEARCH("INVALID MARK",I7)))</formula>
    </cfRule>
    <cfRule type="containsText" dxfId="36" priority="685" operator="containsText" text="INVALID ENTRY">
      <formula>NOT(ISERROR(SEARCH("INVALID ENTRY",I7)))</formula>
    </cfRule>
    <cfRule type="containsText" dxfId="35" priority="686" operator="containsText" text="MISSING MARK">
      <formula>NOT(ISERROR(SEARCH("MISSING MARK",I7)))</formula>
    </cfRule>
  </conditionalFormatting>
  <conditionalFormatting sqref="D7">
    <cfRule type="containsText" dxfId="34" priority="457" operator="containsText" text="FAIL">
      <formula>NOT(ISERROR(SEARCH("FAIL",D7)))</formula>
    </cfRule>
    <cfRule type="containsText" dxfId="33" priority="458" operator="containsText" text="PASS">
      <formula>NOT(ISERROR(SEARCH("PASS",D7)))</formula>
    </cfRule>
  </conditionalFormatting>
  <conditionalFormatting sqref="D8:D10">
    <cfRule type="containsText" dxfId="32" priority="439" operator="containsText" text="FAIL">
      <formula>NOT(ISERROR(SEARCH("FAIL",D8)))</formula>
    </cfRule>
    <cfRule type="containsText" dxfId="31" priority="440" operator="containsText" text="PASS">
      <formula>NOT(ISERROR(SEARCH("PASS",D8)))</formula>
    </cfRule>
  </conditionalFormatting>
  <conditionalFormatting sqref="H7:H16">
    <cfRule type="containsText" dxfId="30" priority="435" operator="containsText" text="INVALID MARK">
      <formula>NOT(ISERROR(SEARCH("INVALID MARK",H7)))</formula>
    </cfRule>
  </conditionalFormatting>
  <conditionalFormatting sqref="D11:D15">
    <cfRule type="containsText" dxfId="29" priority="433" operator="containsText" text="FAIL">
      <formula>NOT(ISERROR(SEARCH("FAIL",D11)))</formula>
    </cfRule>
    <cfRule type="containsText" dxfId="28" priority="434" operator="containsText" text="PASS">
      <formula>NOT(ISERROR(SEARCH("PASS",D11)))</formula>
    </cfRule>
  </conditionalFormatting>
  <conditionalFormatting sqref="D16">
    <cfRule type="containsText" dxfId="27" priority="427" operator="containsText" text="FAIL">
      <formula>NOT(ISERROR(SEARCH("FAIL",D16)))</formula>
    </cfRule>
    <cfRule type="containsText" dxfId="26" priority="428" operator="containsText" text="PASS">
      <formula>NOT(ISERROR(SEARCH("PASS",D16)))</formula>
    </cfRule>
  </conditionalFormatting>
  <conditionalFormatting sqref="H17">
    <cfRule type="containsText" dxfId="25" priority="408" operator="containsText" text="INVALID MARK">
      <formula>NOT(ISERROR(SEARCH("INVALID MARK",H17)))</formula>
    </cfRule>
  </conditionalFormatting>
  <conditionalFormatting sqref="D17">
    <cfRule type="containsText" dxfId="24" priority="403" operator="containsText" text="FAIL">
      <formula>NOT(ISERROR(SEARCH("FAIL",D17)))</formula>
    </cfRule>
    <cfRule type="containsText" dxfId="23" priority="404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page - Marks Overview</vt:lpstr>
      <vt:lpstr>Attendance sheet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2020-10-14T20:39:03Z</dcterms:modified>
</cp:coreProperties>
</file>