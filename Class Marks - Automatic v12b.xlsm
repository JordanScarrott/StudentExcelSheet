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8" i="1"/>
  <c r="I29" i="1"/>
  <c r="M6" i="1" l="1"/>
  <c r="M4" i="1"/>
  <c r="M7" i="1"/>
  <c r="M13" i="1"/>
  <c r="M8" i="1"/>
  <c r="M5" i="1"/>
  <c r="M9" i="1"/>
  <c r="M10" i="1"/>
  <c r="M12" i="1"/>
  <c r="M11" i="1"/>
  <c r="I14" i="54"/>
  <c r="K17" i="52" l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K16" i="52" l="1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3" i="55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6"/>
  <c r="I8" i="56"/>
  <c r="I12" i="56"/>
  <c r="I9" i="55"/>
  <c r="I10" i="58"/>
  <c r="I9" i="58"/>
  <c r="I11" i="55"/>
  <c r="I8" i="55"/>
  <c r="I13" i="58"/>
  <c r="I12" i="58"/>
  <c r="I10" i="56"/>
  <c r="I9" i="56"/>
  <c r="I12" i="55"/>
  <c r="I11" i="58"/>
  <c r="I11" i="56"/>
  <c r="I8" i="58"/>
  <c r="I10" i="55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I6" i="54"/>
  <c r="I9" i="54"/>
  <c r="I11" i="54"/>
  <c r="I12" i="54"/>
  <c r="I13" i="54"/>
  <c r="I7" i="54"/>
  <c r="I8" i="54"/>
  <c r="I10" i="54"/>
  <c r="I15" i="54"/>
  <c r="D7" i="54" l="1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9" i="52"/>
  <c r="I12" i="52"/>
  <c r="I11" i="52"/>
  <c r="I13" i="52"/>
  <c r="I10" i="52"/>
  <c r="I8" i="52"/>
  <c r="D8" i="52" l="1"/>
  <c r="D17" i="52"/>
  <c r="D12" i="52"/>
  <c r="D7" i="52" l="1"/>
  <c r="D10" i="52" l="1"/>
  <c r="D14" i="52" l="1"/>
  <c r="D16" i="52"/>
  <c r="D13" i="52"/>
  <c r="D15" i="52"/>
  <c r="I7" i="58"/>
  <c r="I7" i="52"/>
  <c r="I7" i="55"/>
  <c r="I7" i="56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2" i="1" l="1"/>
  <c r="L32" i="1" s="1"/>
  <c r="J32" i="1" s="1"/>
  <c r="G32" i="1" s="1"/>
  <c r="M31" i="1"/>
  <c r="L31" i="1" s="1"/>
  <c r="J31" i="1" s="1"/>
  <c r="M28" i="1"/>
  <c r="L28" i="1" s="1"/>
  <c r="J28" i="1" s="1"/>
  <c r="M30" i="1"/>
  <c r="L30" i="1" s="1"/>
  <c r="J30" i="1" s="1"/>
  <c r="G30" i="1" s="1"/>
  <c r="M29" i="1"/>
  <c r="L29" i="1" s="1"/>
  <c r="J29" i="1" s="1"/>
  <c r="H29" i="1" s="1"/>
  <c r="M34" i="1"/>
  <c r="L34" i="1" s="1"/>
  <c r="J34" i="1" s="1"/>
  <c r="G34" i="1" s="1"/>
  <c r="M33" i="1"/>
  <c r="L33" i="1" s="1"/>
  <c r="J33" i="1" s="1"/>
  <c r="H31" i="1" l="1"/>
  <c r="H28" i="1"/>
  <c r="G28" i="1"/>
  <c r="H30" i="1"/>
  <c r="H33" i="1"/>
  <c r="G33" i="1"/>
  <c r="G29" i="1"/>
  <c r="G31" i="1"/>
  <c r="H34" i="1"/>
  <c r="H32" i="1"/>
  <c r="I16" i="58"/>
  <c r="Q37" i="1" l="1"/>
  <c r="I16" i="55"/>
  <c r="I16" i="56"/>
  <c r="I16" i="54"/>
  <c r="N37" i="1" l="1"/>
  <c r="O37" i="1"/>
  <c r="P37" i="1"/>
  <c r="N36" i="1"/>
  <c r="I15" i="58"/>
  <c r="M37" i="1" l="1"/>
  <c r="L37" i="1" s="1"/>
  <c r="Q36" i="1"/>
  <c r="I16" i="52"/>
  <c r="I15" i="56"/>
  <c r="K37" i="1" l="1"/>
  <c r="J37" i="1" s="1"/>
  <c r="H37" i="1" s="1"/>
  <c r="P36" i="1"/>
  <c r="I15" i="55"/>
  <c r="G37" i="1" l="1"/>
  <c r="O36" i="1"/>
  <c r="M36" i="1" s="1"/>
  <c r="I17" i="58"/>
  <c r="L36" i="1" l="1"/>
  <c r="Q38" i="1"/>
  <c r="I14" i="58"/>
  <c r="I17" i="55"/>
  <c r="I17" i="56"/>
  <c r="I15" i="52"/>
  <c r="K36" i="1" l="1"/>
  <c r="J36" i="1" s="1"/>
  <c r="G36" i="1" s="1"/>
  <c r="P38" i="1"/>
  <c r="O38" i="1"/>
  <c r="Q35" i="1"/>
  <c r="I14" i="55"/>
  <c r="H36" i="1" l="1"/>
  <c r="O35" i="1"/>
  <c r="I17" i="54"/>
  <c r="I14" i="56"/>
  <c r="N38" i="1" l="1"/>
  <c r="M38" i="1" s="1"/>
  <c r="L38" i="1" s="1"/>
  <c r="P35" i="1"/>
  <c r="N35" i="1"/>
  <c r="I14" i="52"/>
  <c r="M35" i="1" l="1"/>
  <c r="L35" i="1" s="1"/>
  <c r="K35" i="1"/>
  <c r="I17" i="52"/>
  <c r="J35" i="1" l="1"/>
  <c r="K38" i="1"/>
  <c r="G35" i="1" l="1"/>
  <c r="H35" i="1"/>
  <c r="J38" i="1"/>
  <c r="H38" i="1" s="1"/>
  <c r="M15" i="1" l="1"/>
  <c r="M14" i="1"/>
  <c r="M17" i="1"/>
  <c r="M18" i="1"/>
  <c r="M19" i="1"/>
  <c r="G38" i="1"/>
  <c r="M16" i="1" s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<sst xmlns="http://schemas.openxmlformats.org/spreadsheetml/2006/main" count="201" uniqueCount="105">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</sst>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7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3EB4B"/>
      <color rgb="FFDFEB4B"/>
      <color rgb="FFDFF34B"/>
      <color rgb="FFEBF34B"/>
      <color rgb="FFABF34B"/>
      <color rgb="FF8DF34B"/>
      <color rgb="FFF7D470"/>
      <color rgb="FFF36B4B"/>
      <color rgb="FFFF6600"/>
      <color rgb="FFABF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Q38"/>
  <sheetViews>
    <sheetView tabSelected="1" topLeftCell="B1" zoomScaleNormal="100" workbookViewId="0">
      <selection activeCell="D7" sqref="D7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3" t="s">
        <v>67</v>
      </c>
      <c r="G3" s="114"/>
      <c r="H3" s="114"/>
      <c r="I3" s="115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6"/>
      <c r="G4" s="117"/>
      <c r="H4" s="117"/>
      <c r="I4" s="118"/>
      <c r="J4" s="37"/>
      <c r="K4" s="53" t="s">
        <v>16</v>
      </c>
      <c r="L4" s="48" t="s">
        <v>104</v>
      </c>
      <c r="M4" s="59">
        <f t="shared" ref="M4:M13" si="0">COUNTIF(I$28:I$38, "="&amp;L4)</f>
        <v>0</v>
      </c>
    </row>
    <row r="5" spans="3:13" ht="15.75" thickBot="1" x14ac:dyDescent="0.3">
      <c r="C5" s="40" t="s">
        <v>13</v>
      </c>
      <c r="D5" s="68"/>
      <c r="E5" s="36"/>
      <c r="F5" s="116"/>
      <c r="G5" s="117"/>
      <c r="H5" s="117"/>
      <c r="I5" s="118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6"/>
      <c r="G6" s="117"/>
      <c r="H6" s="117"/>
      <c r="I6" s="118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10" t="s">
        <v>65</v>
      </c>
      <c r="G7" s="111"/>
      <c r="H7" s="111"/>
      <c r="I7" s="112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7" t="s">
        <v>66</v>
      </c>
      <c r="G8" s="108"/>
      <c r="H8" s="108"/>
      <c r="I8" s="109"/>
      <c r="J8" s="35"/>
      <c r="K8" s="55" t="s">
        <v>20</v>
      </c>
      <c r="L8" s="49" t="s">
        <v>37</v>
      </c>
      <c r="M8" s="59">
        <f t="shared" si="0"/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2</v>
      </c>
    </row>
    <row r="10" spans="3:13" x14ac:dyDescent="0.25">
      <c r="C10" s="38" t="s">
        <v>48</v>
      </c>
      <c r="D10" s="39">
        <v>0.5</v>
      </c>
      <c r="F10" s="119" t="s">
        <v>68</v>
      </c>
      <c r="G10" s="120"/>
      <c r="H10" s="120"/>
      <c r="I10" s="121"/>
      <c r="J10" s="35"/>
      <c r="K10" s="56" t="s">
        <v>22</v>
      </c>
      <c r="L10" s="50" t="s">
        <v>32</v>
      </c>
      <c r="M10" s="59">
        <f t="shared" si="0"/>
        <v>2</v>
      </c>
    </row>
    <row r="11" spans="3:13" x14ac:dyDescent="0.25">
      <c r="C11" s="42" t="s">
        <v>46</v>
      </c>
      <c r="D11" s="43">
        <v>0.4</v>
      </c>
      <c r="F11" s="110" t="s">
        <v>69</v>
      </c>
      <c r="G11" s="111"/>
      <c r="H11" s="111"/>
      <c r="I11" s="112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10" t="s">
        <v>71</v>
      </c>
      <c r="G12" s="111"/>
      <c r="H12" s="111"/>
      <c r="I12" s="112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7" t="s">
        <v>70</v>
      </c>
      <c r="G13" s="108"/>
      <c r="H13" s="108"/>
      <c r="I13" s="109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03" t="s">
        <v>28</v>
      </c>
      <c r="L14" s="104"/>
      <c r="M14" s="60">
        <f>COUNTIF(H28:H38, "=FAIL")</f>
        <v>3</v>
      </c>
    </row>
    <row r="15" spans="3:13" x14ac:dyDescent="0.25">
      <c r="J15" s="35"/>
      <c r="K15" s="105" t="s">
        <v>27</v>
      </c>
      <c r="L15" s="106"/>
      <c r="M15" s="59">
        <f>COUNTIF(H28:H38, "=PASS")</f>
        <v>8</v>
      </c>
    </row>
    <row r="16" spans="3:13" x14ac:dyDescent="0.25">
      <c r="J16" s="35"/>
      <c r="K16" s="105" t="s">
        <v>39</v>
      </c>
      <c r="L16" s="106"/>
      <c r="M16" s="59">
        <f>COUNTIF(G28:G38, "=WRITE SUPP")</f>
        <v>2</v>
      </c>
    </row>
    <row r="17" spans="3:17" x14ac:dyDescent="0.25">
      <c r="J17" s="35"/>
      <c r="K17" s="105" t="s">
        <v>40</v>
      </c>
      <c r="L17" s="106"/>
      <c r="M17" s="61">
        <f>MAX(J28:J38)-MIN(J28:J38)</f>
        <v>0.48981818181818176</v>
      </c>
    </row>
    <row r="18" spans="3:17" x14ac:dyDescent="0.25">
      <c r="J18" s="35"/>
      <c r="K18" s="105" t="s">
        <v>41</v>
      </c>
      <c r="L18" s="106"/>
      <c r="M18" s="61">
        <f>AVERAGE(J28:J38)</f>
        <v>0.62047933884297513</v>
      </c>
    </row>
    <row r="19" spans="3:17" ht="15.75" thickBot="1" x14ac:dyDescent="0.3">
      <c r="J19" s="35"/>
      <c r="K19" s="101" t="s">
        <v>42</v>
      </c>
      <c r="L19" s="102"/>
      <c r="M19" s="62">
        <f>STDEV(J28:J38)</f>
        <v>0.13020848565681076</v>
      </c>
    </row>
    <row r="24" spans="3:17" ht="15.75" thickBot="1" x14ac:dyDescent="0.3"/>
    <row r="25" spans="3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3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3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3:17" x14ac:dyDescent="0.25">
      <c r="D28" s="73" t="s">
        <v>76</v>
      </c>
      <c r="E28" s="96" t="s">
        <v>89</v>
      </c>
      <c r="F28" s="88" t="s">
        <v>78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 t="shared" ref="I28:I38" si="3">STUDENT_GRADE(J28,K$4:K$13,L$4:L$13)</f>
        <v>B</v>
      </c>
      <c r="J28" s="89">
        <f t="shared" ref="J28:J37" si="4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7" x14ac:dyDescent="0.25">
      <c r="D29" s="73" t="s">
        <v>79</v>
      </c>
      <c r="E29" s="96" t="s">
        <v>77</v>
      </c>
      <c r="F29" s="88" t="s">
        <v>81</v>
      </c>
      <c r="G29" s="74" t="str">
        <f t="shared" ref="G29:G31" si="5">IF(AND(K29&gt;=D$13, J29&gt;=D$11), IF(OR(K29&lt;D$12, J29&lt;D$10), "WRITE SUPP", "NO SUPP"), "NO SUPP")</f>
        <v>NO SUPP</v>
      </c>
      <c r="H29" s="74" t="str">
        <f t="shared" ref="H29:H31" si="6">IF(K29&gt;=D$12, IF(J29&gt;=D$10, "PASS", "FAIL"), "FAIL")</f>
        <v>PASS</v>
      </c>
      <c r="I29" s="74" t="str">
        <f t="shared" si="3"/>
        <v>C</v>
      </c>
      <c r="J29" s="89">
        <f t="shared" si="4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7">M29/M$27</f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7" x14ac:dyDescent="0.25">
      <c r="D30" s="73" t="s">
        <v>80</v>
      </c>
      <c r="E30" s="73" t="s">
        <v>84</v>
      </c>
      <c r="F30" s="88" t="s">
        <v>82</v>
      </c>
      <c r="G30" s="74" t="str">
        <f t="shared" si="5"/>
        <v>NO SUPP</v>
      </c>
      <c r="H30" s="74" t="str">
        <f t="shared" si="6"/>
        <v>FAIL</v>
      </c>
      <c r="I30" s="74" t="str">
        <f t="shared" si="3"/>
        <v>F</v>
      </c>
      <c r="J30" s="89">
        <f t="shared" si="4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7" x14ac:dyDescent="0.25">
      <c r="D31" s="73" t="s">
        <v>85</v>
      </c>
      <c r="E31" s="73" t="s">
        <v>86</v>
      </c>
      <c r="F31" s="88" t="s">
        <v>83</v>
      </c>
      <c r="G31" s="74" t="str">
        <f t="shared" si="5"/>
        <v>NO SUPP</v>
      </c>
      <c r="H31" s="74" t="str">
        <f t="shared" si="6"/>
        <v>PASS</v>
      </c>
      <c r="I31" s="74" t="str">
        <f t="shared" si="3"/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7"/>
        <v>0.55909090909090908</v>
      </c>
      <c r="M31" s="74">
        <f t="shared" si="2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7" x14ac:dyDescent="0.25">
      <c r="D32" s="73" t="s">
        <v>88</v>
      </c>
      <c r="E32" s="73" t="s">
        <v>87</v>
      </c>
      <c r="F32" s="88" t="s">
        <v>90</v>
      </c>
      <c r="G32" s="74" t="str">
        <f t="shared" ref="G32:G36" si="8">IF(AND(K32&gt;=D$13, J32&gt;=D$11), IF(OR(K32&lt;D$12, J32&lt;D$10), "WRITE SUPP", "NO SUPP"), "NO SUPP")</f>
        <v>WRITE SUPP</v>
      </c>
      <c r="H32" s="74" t="str">
        <f t="shared" ref="H32:H36" si="9">IF(K32&gt;=D$12, IF(J32&gt;=D$10, "PASS", "FAIL"), "FAIL")</f>
        <v>FAIL</v>
      </c>
      <c r="I32" s="74" t="str">
        <f t="shared" si="3"/>
        <v>C+</v>
      </c>
      <c r="J32" s="89">
        <f t="shared" si="4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10">M32/M$27</f>
        <v>0.69545454545454544</v>
      </c>
      <c r="M32" s="74">
        <f t="shared" si="2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92</v>
      </c>
      <c r="E33" s="73" t="s">
        <v>91</v>
      </c>
      <c r="F33" s="88" t="s">
        <v>93</v>
      </c>
      <c r="G33" s="74" t="str">
        <f t="shared" si="8"/>
        <v>WRITE SUPP</v>
      </c>
      <c r="H33" s="74" t="str">
        <f t="shared" si="9"/>
        <v>FAIL</v>
      </c>
      <c r="I33" s="74" t="str">
        <f t="shared" si="3"/>
        <v>C-</v>
      </c>
      <c r="J33" s="89">
        <f t="shared" si="4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10"/>
        <v>0.37272727272727274</v>
      </c>
      <c r="M33" s="74">
        <f t="shared" si="2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95</v>
      </c>
      <c r="E34" s="73" t="s">
        <v>94</v>
      </c>
      <c r="F34" s="88" t="s">
        <v>97</v>
      </c>
      <c r="G34" s="74" t="str">
        <f t="shared" si="8"/>
        <v>NO SUPP</v>
      </c>
      <c r="H34" s="74" t="str">
        <f t="shared" si="9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10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95</v>
      </c>
      <c r="E35" s="73" t="s">
        <v>99</v>
      </c>
      <c r="F35" s="88" t="s">
        <v>98</v>
      </c>
      <c r="G35" s="74" t="str">
        <f t="shared" si="8"/>
        <v>NO SUPP</v>
      </c>
      <c r="H35" s="74" t="str">
        <f t="shared" si="9"/>
        <v>PASS</v>
      </c>
      <c r="I35" s="74" t="str">
        <f t="shared" si="3"/>
        <v>B-</v>
      </c>
      <c r="J35" s="89">
        <f t="shared" si="4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10"/>
        <v>0.55454545454545456</v>
      </c>
      <c r="M35" s="74">
        <f t="shared" si="2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95</v>
      </c>
      <c r="E36" s="73" t="s">
        <v>96</v>
      </c>
      <c r="F36" s="88" t="s">
        <v>100</v>
      </c>
      <c r="G36" s="74" t="str">
        <f t="shared" si="8"/>
        <v>NO SUPP</v>
      </c>
      <c r="H36" s="74" t="str">
        <f t="shared" si="9"/>
        <v>PASS</v>
      </c>
      <c r="I36" s="74" t="str">
        <f t="shared" si="3"/>
        <v>B</v>
      </c>
      <c r="J36" s="89">
        <f t="shared" si="4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10"/>
        <v>0.6045454545454545</v>
      </c>
      <c r="M36" s="74">
        <f t="shared" si="2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96</v>
      </c>
      <c r="F37" s="88"/>
      <c r="G37" s="74" t="str">
        <f t="shared" ref="G37" si="11">IF(AND(K37&gt;=D$13, J37&gt;=D$11), IF(OR(K37&lt;D$12, J37&lt;D$10), "WRITE SUPP", "NO SUPP"), "NO SUPP")</f>
        <v>NO SUPP</v>
      </c>
      <c r="H37" s="74" t="str">
        <f t="shared" ref="H37" si="12">IF(K37&gt;=D$12, IF(J37&gt;=D$10, "PASS", "FAIL"), "FAIL")</f>
        <v>PASS</v>
      </c>
      <c r="I37" s="74" t="str">
        <f t="shared" si="3"/>
        <v>B+</v>
      </c>
      <c r="J37" s="89">
        <f t="shared" si="4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3">M37/M$27</f>
        <v>0.70909090909090911</v>
      </c>
      <c r="M37" s="74">
        <f t="shared" si="2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102</v>
      </c>
      <c r="E38" s="73" t="s">
        <v>101</v>
      </c>
      <c r="F38" s="88" t="s">
        <v>103</v>
      </c>
      <c r="G38" s="74" t="str">
        <f t="shared" ref="G38" si="14">IF(AND(K38&gt;=D$13, J38&gt;=D$11), IF(OR(K38&lt;D$12, J38&lt;D$10), "WRITE SUPP", "NO SUPP"), "NO SUPP")</f>
        <v>NO SUPP</v>
      </c>
      <c r="H38" s="74" t="str">
        <f t="shared" ref="H38" si="15">IF(K38&gt;=D$12, IF(J38&gt;=D$10, "PASS", "FAIL"), "FAIL")</f>
        <v>PASS</v>
      </c>
      <c r="I38" s="74" t="str">
        <f t="shared" si="3"/>
        <v>B-</v>
      </c>
      <c r="J38" s="89">
        <f t="shared" ref="J38" si="16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7">M38/M$27</f>
        <v>0.58636363636363631</v>
      </c>
      <c r="M38" s="74">
        <f t="shared" si="2"/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56" priority="231" operator="equal">
      <formula>$L$11</formula>
    </cfRule>
    <cfRule type="cellIs" dxfId="155" priority="233" operator="equal">
      <formula>$L$9</formula>
    </cfRule>
    <cfRule type="cellIs" dxfId="154" priority="4393" operator="equal">
      <formula>$L$8</formula>
    </cfRule>
    <cfRule type="cellIs" dxfId="153" priority="4395" operator="equal">
      <formula>$L$6</formula>
    </cfRule>
    <cfRule type="cellIs" dxfId="152" priority="4396" operator="equal">
      <formula>$L$5</formula>
    </cfRule>
    <cfRule type="cellIs" dxfId="151" priority="4643" operator="equal">
      <formula>$L$4</formula>
    </cfRule>
  </conditionalFormatting>
  <conditionalFormatting sqref="G28">
    <cfRule type="containsText" dxfId="150" priority="4642" operator="containsText" text="WRITE SUPP">
      <formula>NOT(ISERROR(SEARCH("WRITE SUPP",G28)))</formula>
    </cfRule>
  </conditionalFormatting>
  <conditionalFormatting sqref="K28:K37">
    <cfRule type="containsText" dxfId="149" priority="1061" operator="containsText" text="MISSING MARK">
      <formula>NOT(ISERROR(SEARCH("MISSING MARK",K28)))</formula>
    </cfRule>
    <cfRule type="containsText" dxfId="148" priority="4638" operator="containsText" text="INVALID MARK">
      <formula>NOT(ISERROR(SEARCH("INVALID MARK",K28)))</formula>
    </cfRule>
    <cfRule type="cellIs" dxfId="147" priority="4645" operator="lessThan">
      <formula>$D$12</formula>
    </cfRule>
    <cfRule type="cellIs" priority="4646" operator="greaterThanOrEqual">
      <formula>$D$12</formula>
    </cfRule>
    <cfRule type="expression" dxfId="146" priority="4647">
      <formula>"&gt;=$D$10"</formula>
    </cfRule>
  </conditionalFormatting>
  <conditionalFormatting sqref="N28">
    <cfRule type="containsText" dxfId="145" priority="4639" operator="containsText" text="INVALID MARK">
      <formula>NOT(ISERROR(SEARCH("INVALID MARK",N28)))</formula>
    </cfRule>
    <cfRule type="containsText" dxfId="144" priority="4640" operator="containsText" text="INVALID ENTRY">
      <formula>NOT(ISERROR(SEARCH("INVALID ENTRY",N28)))</formula>
    </cfRule>
    <cfRule type="containsText" dxfId="143" priority="4641" operator="containsText" text="MISSING MARK">
      <formula>NOT(ISERROR(SEARCH("MISSING MARK",N28)))</formula>
    </cfRule>
  </conditionalFormatting>
  <conditionalFormatting sqref="H28">
    <cfRule type="containsText" dxfId="142" priority="4637" operator="containsText" text="FAIL">
      <formula>NOT(ISERROR(SEARCH("FAIL",H28)))</formula>
    </cfRule>
  </conditionalFormatting>
  <conditionalFormatting sqref="I28:I38">
    <cfRule type="cellIs" dxfId="141" priority="229" operator="equal">
      <formula>$L$13</formula>
    </cfRule>
    <cfRule type="cellIs" dxfId="140" priority="230" operator="equal">
      <formula>$L$12</formula>
    </cfRule>
    <cfRule type="cellIs" dxfId="139" priority="232" operator="equal">
      <formula>$L$10</formula>
    </cfRule>
    <cfRule type="cellIs" dxfId="138" priority="4394" operator="equal">
      <formula>$L$7</formula>
    </cfRule>
  </conditionalFormatting>
  <conditionalFormatting sqref="G29:G31">
    <cfRule type="containsText" dxfId="137" priority="1201" operator="containsText" text="WRITE SUPP">
      <formula>NOT(ISERROR(SEARCH("WRITE SUPP",G29)))</formula>
    </cfRule>
  </conditionalFormatting>
  <conditionalFormatting sqref="J28:J37">
    <cfRule type="cellIs" dxfId="136" priority="1203" operator="lessThan">
      <formula>$D$10</formula>
    </cfRule>
  </conditionalFormatting>
  <conditionalFormatting sqref="N29:N31">
    <cfRule type="containsText" dxfId="135" priority="1198" operator="containsText" text="INVALID MARK">
      <formula>NOT(ISERROR(SEARCH("INVALID MARK",N29)))</formula>
    </cfRule>
    <cfRule type="containsText" dxfId="134" priority="1199" operator="containsText" text="INVALID ENTRY">
      <formula>NOT(ISERROR(SEARCH("INVALID ENTRY",N29)))</formula>
    </cfRule>
    <cfRule type="containsText" dxfId="133" priority="1200" operator="containsText" text="MISSING MARK">
      <formula>NOT(ISERROR(SEARCH("MISSING MARK",N29)))</formula>
    </cfRule>
  </conditionalFormatting>
  <conditionalFormatting sqref="H29:H31">
    <cfRule type="containsText" dxfId="132" priority="1196" operator="containsText" text="FAIL">
      <formula>NOT(ISERROR(SEARCH("FAIL",H29)))</formula>
    </cfRule>
  </conditionalFormatting>
  <conditionalFormatting sqref="O28">
    <cfRule type="containsText" dxfId="131" priority="1189" operator="containsText" text="INVALID MARK">
      <formula>NOT(ISERROR(SEARCH("INVALID MARK",O28)))</formula>
    </cfRule>
    <cfRule type="containsText" dxfId="130" priority="1190" operator="containsText" text="INVALID ENTRY">
      <formula>NOT(ISERROR(SEARCH("INVALID ENTRY",O28)))</formula>
    </cfRule>
    <cfRule type="containsText" dxfId="129" priority="1191" operator="containsText" text="MISSING MARK">
      <formula>NOT(ISERROR(SEARCH("MISSING MARK",O28)))</formula>
    </cfRule>
  </conditionalFormatting>
  <conditionalFormatting sqref="O29:O31">
    <cfRule type="containsText" dxfId="128" priority="1186" operator="containsText" text="INVALID MARK">
      <formula>NOT(ISERROR(SEARCH("INVALID MARK",O29)))</formula>
    </cfRule>
    <cfRule type="containsText" dxfId="127" priority="1187" operator="containsText" text="INVALID ENTRY">
      <formula>NOT(ISERROR(SEARCH("INVALID ENTRY",O29)))</formula>
    </cfRule>
    <cfRule type="containsText" dxfId="126" priority="1188" operator="containsText" text="MISSING MARK">
      <formula>NOT(ISERROR(SEARCH("MISSING MARK",O29)))</formula>
    </cfRule>
  </conditionalFormatting>
  <conditionalFormatting sqref="P28">
    <cfRule type="containsText" dxfId="125" priority="1183" operator="containsText" text="INVALID MARK">
      <formula>NOT(ISERROR(SEARCH("INVALID MARK",P28)))</formula>
    </cfRule>
    <cfRule type="containsText" dxfId="124" priority="1184" operator="containsText" text="INVALID ENTRY">
      <formula>NOT(ISERROR(SEARCH("INVALID ENTRY",P28)))</formula>
    </cfRule>
    <cfRule type="containsText" dxfId="123" priority="1185" operator="containsText" text="MISSING MARK">
      <formula>NOT(ISERROR(SEARCH("MISSING MARK",P28)))</formula>
    </cfRule>
  </conditionalFormatting>
  <conditionalFormatting sqref="P29:P31">
    <cfRule type="containsText" dxfId="122" priority="1180" operator="containsText" text="INVALID MARK">
      <formula>NOT(ISERROR(SEARCH("INVALID MARK",P29)))</formula>
    </cfRule>
    <cfRule type="containsText" dxfId="121" priority="1181" operator="containsText" text="INVALID ENTRY">
      <formula>NOT(ISERROR(SEARCH("INVALID ENTRY",P29)))</formula>
    </cfRule>
    <cfRule type="containsText" dxfId="120" priority="1182" operator="containsText" text="MISSING MARK">
      <formula>NOT(ISERROR(SEARCH("MISSING MARK",P29)))</formula>
    </cfRule>
  </conditionalFormatting>
  <conditionalFormatting sqref="Q28">
    <cfRule type="containsText" dxfId="119" priority="1171" operator="containsText" text="INVALID MARK">
      <formula>NOT(ISERROR(SEARCH("INVALID MARK",Q28)))</formula>
    </cfRule>
    <cfRule type="containsText" dxfId="118" priority="1172" operator="containsText" text="INVALID ENTRY">
      <formula>NOT(ISERROR(SEARCH("INVALID ENTRY",Q28)))</formula>
    </cfRule>
    <cfRule type="containsText" dxfId="117" priority="1173" operator="containsText" text="MISSING MARK">
      <formula>NOT(ISERROR(SEARCH("MISSING MARK",Q28)))</formula>
    </cfRule>
  </conditionalFormatting>
  <conditionalFormatting sqref="Q29:Q31">
    <cfRule type="containsText" dxfId="116" priority="1168" operator="containsText" text="INVALID MARK">
      <formula>NOT(ISERROR(SEARCH("INVALID MARK",Q29)))</formula>
    </cfRule>
    <cfRule type="containsText" dxfId="115" priority="1169" operator="containsText" text="INVALID ENTRY">
      <formula>NOT(ISERROR(SEARCH("INVALID ENTRY",Q29)))</formula>
    </cfRule>
    <cfRule type="containsText" dxfId="114" priority="1170" operator="containsText" text="MISSING MARK">
      <formula>NOT(ISERROR(SEARCH("MISSING MARK",Q29)))</formula>
    </cfRule>
  </conditionalFormatting>
  <conditionalFormatting sqref="G32:G36">
    <cfRule type="containsText" dxfId="113" priority="1162" operator="containsText" text="WRITE SUPP">
      <formula>NOT(ISERROR(SEARCH("WRITE SUPP",G32)))</formula>
    </cfRule>
  </conditionalFormatting>
  <conditionalFormatting sqref="N32:N36">
    <cfRule type="containsText" dxfId="112" priority="1159" operator="containsText" text="INVALID MARK">
      <formula>NOT(ISERROR(SEARCH("INVALID MARK",N32)))</formula>
    </cfRule>
    <cfRule type="containsText" dxfId="111" priority="1160" operator="containsText" text="INVALID ENTRY">
      <formula>NOT(ISERROR(SEARCH("INVALID ENTRY",N32)))</formula>
    </cfRule>
    <cfRule type="containsText" dxfId="110" priority="1161" operator="containsText" text="MISSING MARK">
      <formula>NOT(ISERROR(SEARCH("MISSING MARK",N32)))</formula>
    </cfRule>
  </conditionalFormatting>
  <conditionalFormatting sqref="H32:H36">
    <cfRule type="containsText" dxfId="109" priority="1157" operator="containsText" text="FAIL">
      <formula>NOT(ISERROR(SEARCH("FAIL",H32)))</formula>
    </cfRule>
  </conditionalFormatting>
  <conditionalFormatting sqref="O32:O36">
    <cfRule type="containsText" dxfId="108" priority="1150" operator="containsText" text="INVALID MARK">
      <formula>NOT(ISERROR(SEARCH("INVALID MARK",O32)))</formula>
    </cfRule>
    <cfRule type="containsText" dxfId="107" priority="1151" operator="containsText" text="INVALID ENTRY">
      <formula>NOT(ISERROR(SEARCH("INVALID ENTRY",O32)))</formula>
    </cfRule>
    <cfRule type="containsText" dxfId="106" priority="1152" operator="containsText" text="MISSING MARK">
      <formula>NOT(ISERROR(SEARCH("MISSING MARK",O32)))</formula>
    </cfRule>
  </conditionalFormatting>
  <conditionalFormatting sqref="P32:P36">
    <cfRule type="containsText" dxfId="105" priority="1147" operator="containsText" text="INVALID MARK">
      <formula>NOT(ISERROR(SEARCH("INVALID MARK",P32)))</formula>
    </cfRule>
    <cfRule type="containsText" dxfId="104" priority="1148" operator="containsText" text="INVALID ENTRY">
      <formula>NOT(ISERROR(SEARCH("INVALID ENTRY",P32)))</formula>
    </cfRule>
    <cfRule type="containsText" dxfId="103" priority="1149" operator="containsText" text="MISSING MARK">
      <formula>NOT(ISERROR(SEARCH("MISSING MARK",P32)))</formula>
    </cfRule>
  </conditionalFormatting>
  <conditionalFormatting sqref="Q32:Q36">
    <cfRule type="containsText" dxfId="102" priority="1144" operator="containsText" text="INVALID MARK">
      <formula>NOT(ISERROR(SEARCH("INVALID MARK",Q32)))</formula>
    </cfRule>
    <cfRule type="containsText" dxfId="101" priority="1145" operator="containsText" text="INVALID ENTRY">
      <formula>NOT(ISERROR(SEARCH("INVALID ENTRY",Q32)))</formula>
    </cfRule>
    <cfRule type="containsText" dxfId="100" priority="1146" operator="containsText" text="MISSING MARK">
      <formula>NOT(ISERROR(SEARCH("MISSING MARK",Q32)))</formula>
    </cfRule>
  </conditionalFormatting>
  <conditionalFormatting sqref="G37">
    <cfRule type="containsText" dxfId="99" priority="1129" operator="containsText" text="WRITE SUPP">
      <formula>NOT(ISERROR(SEARCH("WRITE SUPP",G37)))</formula>
    </cfRule>
  </conditionalFormatting>
  <conditionalFormatting sqref="N37">
    <cfRule type="containsText" dxfId="98" priority="1126" operator="containsText" text="INVALID MARK">
      <formula>NOT(ISERROR(SEARCH("INVALID MARK",N37)))</formula>
    </cfRule>
    <cfRule type="containsText" dxfId="97" priority="1127" operator="containsText" text="INVALID ENTRY">
      <formula>NOT(ISERROR(SEARCH("INVALID ENTRY",N37)))</formula>
    </cfRule>
    <cfRule type="containsText" dxfId="96" priority="1128" operator="containsText" text="MISSING MARK">
      <formula>NOT(ISERROR(SEARCH("MISSING MARK",N37)))</formula>
    </cfRule>
  </conditionalFormatting>
  <conditionalFormatting sqref="H37">
    <cfRule type="containsText" dxfId="95" priority="1124" operator="containsText" text="FAIL">
      <formula>NOT(ISERROR(SEARCH("FAIL",H37)))</formula>
    </cfRule>
  </conditionalFormatting>
  <conditionalFormatting sqref="O37">
    <cfRule type="containsText" dxfId="94" priority="1117" operator="containsText" text="INVALID MARK">
      <formula>NOT(ISERROR(SEARCH("INVALID MARK",O37)))</formula>
    </cfRule>
    <cfRule type="containsText" dxfId="93" priority="1118" operator="containsText" text="INVALID ENTRY">
      <formula>NOT(ISERROR(SEARCH("INVALID ENTRY",O37)))</formula>
    </cfRule>
    <cfRule type="containsText" dxfId="92" priority="1119" operator="containsText" text="MISSING MARK">
      <formula>NOT(ISERROR(SEARCH("MISSING MARK",O37)))</formula>
    </cfRule>
  </conditionalFormatting>
  <conditionalFormatting sqref="P37">
    <cfRule type="containsText" dxfId="91" priority="1114" operator="containsText" text="INVALID MARK">
      <formula>NOT(ISERROR(SEARCH("INVALID MARK",P37)))</formula>
    </cfRule>
    <cfRule type="containsText" dxfId="90" priority="1115" operator="containsText" text="INVALID ENTRY">
      <formula>NOT(ISERROR(SEARCH("INVALID ENTRY",P37)))</formula>
    </cfRule>
    <cfRule type="containsText" dxfId="89" priority="1116" operator="containsText" text="MISSING MARK">
      <formula>NOT(ISERROR(SEARCH("MISSING MARK",P37)))</formula>
    </cfRule>
  </conditionalFormatting>
  <conditionalFormatting sqref="Q37">
    <cfRule type="containsText" dxfId="88" priority="1111" operator="containsText" text="INVALID MARK">
      <formula>NOT(ISERROR(SEARCH("INVALID MARK",Q37)))</formula>
    </cfRule>
    <cfRule type="containsText" dxfId="87" priority="1112" operator="containsText" text="INVALID ENTRY">
      <formula>NOT(ISERROR(SEARCH("INVALID ENTRY",Q37)))</formula>
    </cfRule>
    <cfRule type="containsText" dxfId="86" priority="1113" operator="containsText" text="MISSING MARK">
      <formula>NOT(ISERROR(SEARCH("MISSING MARK",Q37)))</formula>
    </cfRule>
  </conditionalFormatting>
  <conditionalFormatting sqref="K38">
    <cfRule type="containsText" dxfId="85" priority="1011" operator="containsText" text="MISSING MARK">
      <formula>NOT(ISERROR(SEARCH("MISSING MARK",K38)))</formula>
    </cfRule>
    <cfRule type="containsText" dxfId="84" priority="1032" operator="containsText" text="INVALID MARK">
      <formula>NOT(ISERROR(SEARCH("INVALID MARK",K38)))</formula>
    </cfRule>
    <cfRule type="cellIs" dxfId="83" priority="1033" operator="lessThan">
      <formula>$D$12</formula>
    </cfRule>
    <cfRule type="cellIs" priority="1034" operator="greaterThanOrEqual">
      <formula>$D$12</formula>
    </cfRule>
    <cfRule type="expression" dxfId="82" priority="1035">
      <formula>"&gt;=$D$10"</formula>
    </cfRule>
  </conditionalFormatting>
  <conditionalFormatting sqref="J38">
    <cfRule type="cellIs" dxfId="81" priority="1031" operator="lessThan">
      <formula>$D$10</formula>
    </cfRule>
  </conditionalFormatting>
  <conditionalFormatting sqref="G38">
    <cfRule type="containsText" dxfId="80" priority="1029" operator="containsText" text="WRITE SUPP">
      <formula>NOT(ISERROR(SEARCH("WRITE SUPP",G38)))</formula>
    </cfRule>
  </conditionalFormatting>
  <conditionalFormatting sqref="N38">
    <cfRule type="containsText" dxfId="79" priority="1026" operator="containsText" text="INVALID MARK">
      <formula>NOT(ISERROR(SEARCH("INVALID MARK",N38)))</formula>
    </cfRule>
    <cfRule type="containsText" dxfId="78" priority="1027" operator="containsText" text="INVALID ENTRY">
      <formula>NOT(ISERROR(SEARCH("INVALID ENTRY",N38)))</formula>
    </cfRule>
    <cfRule type="containsText" dxfId="77" priority="1028" operator="containsText" text="MISSING MARK">
      <formula>NOT(ISERROR(SEARCH("MISSING MARK",N38)))</formula>
    </cfRule>
  </conditionalFormatting>
  <conditionalFormatting sqref="H38">
    <cfRule type="containsText" dxfId="76" priority="1025" operator="containsText" text="FAIL">
      <formula>NOT(ISERROR(SEARCH("FAIL",H38)))</formula>
    </cfRule>
  </conditionalFormatting>
  <conditionalFormatting sqref="O38">
    <cfRule type="containsText" dxfId="75" priority="1018" operator="containsText" text="INVALID MARK">
      <formula>NOT(ISERROR(SEARCH("INVALID MARK",O38)))</formula>
    </cfRule>
    <cfRule type="containsText" dxfId="74" priority="1019" operator="containsText" text="INVALID ENTRY">
      <formula>NOT(ISERROR(SEARCH("INVALID ENTRY",O38)))</formula>
    </cfRule>
    <cfRule type="containsText" dxfId="73" priority="1020" operator="containsText" text="MISSING MARK">
      <formula>NOT(ISERROR(SEARCH("MISSING MARK",O38)))</formula>
    </cfRule>
  </conditionalFormatting>
  <conditionalFormatting sqref="P38">
    <cfRule type="containsText" dxfId="72" priority="1015" operator="containsText" text="INVALID MARK">
      <formula>NOT(ISERROR(SEARCH("INVALID MARK",P38)))</formula>
    </cfRule>
    <cfRule type="containsText" dxfId="71" priority="1016" operator="containsText" text="INVALID ENTRY">
      <formula>NOT(ISERROR(SEARCH("INVALID ENTRY",P38)))</formula>
    </cfRule>
    <cfRule type="containsText" dxfId="70" priority="1017" operator="containsText" text="MISSING MARK">
      <formula>NOT(ISERROR(SEARCH("MISSING MARK",P38)))</formula>
    </cfRule>
  </conditionalFormatting>
  <conditionalFormatting sqref="Q38">
    <cfRule type="containsText" dxfId="69" priority="1012" operator="containsText" text="INVALID MARK">
      <formula>NOT(ISERROR(SEARCH("INVALID MARK",Q38)))</formula>
    </cfRule>
    <cfRule type="containsText" dxfId="68" priority="1013" operator="containsText" text="INVALID ENTRY">
      <formula>NOT(ISERROR(SEARCH("INVALID ENTRY",Q38)))</formula>
    </cfRule>
    <cfRule type="containsText" dxfId="67" priority="1014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2" t="s">
        <v>75</v>
      </c>
      <c r="G4" s="122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51" operator="containsText" text="INVALID MARK">
      <formula>NOT(ISERROR(SEARCH("INVALID MARK",I7)))</formula>
    </cfRule>
    <cfRule type="containsText" dxfId="65" priority="352" operator="containsText" text="INVALID ENTRY">
      <formula>NOT(ISERROR(SEARCH("INVALID ENTRY",I7)))</formula>
    </cfRule>
    <cfRule type="containsText" dxfId="64" priority="353" operator="containsText" text="MISSING MARK">
      <formula>NOT(ISERROR(SEARCH("MISSING MARK",I7)))</formula>
    </cfRule>
  </conditionalFormatting>
  <conditionalFormatting sqref="D7">
    <cfRule type="containsText" dxfId="63" priority="181" operator="containsText" text="FAIL">
      <formula>NOT(ISERROR(SEARCH("FAIL",D7)))</formula>
    </cfRule>
    <cfRule type="containsText" dxfId="62" priority="182" operator="containsText" text="PASS">
      <formula>NOT(ISERROR(SEARCH("PASS",D7)))</formula>
    </cfRule>
  </conditionalFormatting>
  <conditionalFormatting sqref="D8:D10">
    <cfRule type="containsText" dxfId="61" priority="166" operator="containsText" text="FAIL">
      <formula>NOT(ISERROR(SEARCH("FAIL",D8)))</formula>
    </cfRule>
    <cfRule type="containsText" dxfId="60" priority="167" operator="containsText" text="PASS">
      <formula>NOT(ISERROR(SEARCH("PASS",D8)))</formula>
    </cfRule>
  </conditionalFormatting>
  <conditionalFormatting sqref="D11:D15">
    <cfRule type="containsText" dxfId="59" priority="161" operator="containsText" text="FAIL">
      <formula>NOT(ISERROR(SEARCH("FAIL",D11)))</formula>
    </cfRule>
    <cfRule type="containsText" dxfId="58" priority="162" operator="containsText" text="PASS">
      <formula>NOT(ISERROR(SEARCH("PASS",D11)))</formula>
    </cfRule>
  </conditionalFormatting>
  <conditionalFormatting sqref="D16">
    <cfRule type="containsText" dxfId="57" priority="156" operator="containsText" text="FAIL">
      <formula>NOT(ISERROR(SEARCH("FAIL",D16)))</formula>
    </cfRule>
    <cfRule type="containsText" dxfId="56" priority="157" operator="containsText" text="PASS">
      <formula>NOT(ISERROR(SEARCH("PASS",D16)))</formula>
    </cfRule>
  </conditionalFormatting>
  <conditionalFormatting sqref="D17">
    <cfRule type="containsText" dxfId="55" priority="136" operator="containsText" text="FAIL">
      <formula>NOT(ISERROR(SEARCH("FAIL",D17)))</formula>
    </cfRule>
    <cfRule type="containsText" dxfId="54" priority="13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10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</sheetData>
  <mergeCells count="1">
    <mergeCell ref="F4:G4"/>
  </mergeCells>
  <conditionalFormatting sqref="I7:I17">
    <cfRule type="containsText" dxfId="53" priority="173" operator="containsText" text="INVALID MARK">
      <formula>NOT(ISERROR(SEARCH("INVALID MARK",I7)))</formula>
    </cfRule>
    <cfRule type="containsText" dxfId="52" priority="174" operator="containsText" text="INVALID ENTRY">
      <formula>NOT(ISERROR(SEARCH("INVALID ENTRY",I7)))</formula>
    </cfRule>
    <cfRule type="containsText" dxfId="51" priority="175" operator="containsText" text="MISSING MARK">
      <formula>NOT(ISERROR(SEARCH("MISSING MARK",I7)))</formula>
    </cfRule>
  </conditionalFormatting>
  <conditionalFormatting sqref="D7">
    <cfRule type="containsText" dxfId="50" priority="171" operator="containsText" text="FAIL">
      <formula>NOT(ISERROR(SEARCH("FAIL",D7)))</formula>
    </cfRule>
    <cfRule type="containsText" dxfId="49" priority="172" operator="containsText" text="PASS">
      <formula>NOT(ISERROR(SEARCH("PASS",D7)))</formula>
    </cfRule>
  </conditionalFormatting>
  <conditionalFormatting sqref="D8:D10">
    <cfRule type="containsText" dxfId="48" priority="166" operator="containsText" text="FAIL">
      <formula>NOT(ISERROR(SEARCH("FAIL",D8)))</formula>
    </cfRule>
    <cfRule type="containsText" dxfId="47" priority="167" operator="containsText" text="PASS">
      <formula>NOT(ISERROR(SEARCH("PASS",D8)))</formula>
    </cfRule>
  </conditionalFormatting>
  <conditionalFormatting sqref="D11:D15">
    <cfRule type="containsText" dxfId="46" priority="161" operator="containsText" text="FAIL">
      <formula>NOT(ISERROR(SEARCH("FAIL",D11)))</formula>
    </cfRule>
    <cfRule type="containsText" dxfId="45" priority="162" operator="containsText" text="PASS">
      <formula>NOT(ISERROR(SEARCH("PASS",D11)))</formula>
    </cfRule>
  </conditionalFormatting>
  <conditionalFormatting sqref="D16">
    <cfRule type="containsText" dxfId="44" priority="156" operator="containsText" text="FAIL">
      <formula>NOT(ISERROR(SEARCH("FAIL",D16)))</formula>
    </cfRule>
    <cfRule type="containsText" dxfId="43" priority="157" operator="containsText" text="PASS">
      <formula>NOT(ISERROR(SEARCH("PASS",D16)))</formula>
    </cfRule>
  </conditionalFormatting>
  <conditionalFormatting sqref="D17">
    <cfRule type="containsText" dxfId="42" priority="136" operator="containsText" text="FAIL">
      <formula>NOT(ISERROR(SEARCH("FAIL",D17)))</formula>
    </cfRule>
    <cfRule type="containsText" dxfId="41" priority="13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10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</sheetData>
  <mergeCells count="1">
    <mergeCell ref="F4:G4"/>
  </mergeCells>
  <conditionalFormatting sqref="I7:I17">
    <cfRule type="containsText" dxfId="40" priority="173" operator="containsText" text="INVALID MARK">
      <formula>NOT(ISERROR(SEARCH("INVALID MARK",I7)))</formula>
    </cfRule>
    <cfRule type="containsText" dxfId="39" priority="174" operator="containsText" text="INVALID ENTRY">
      <formula>NOT(ISERROR(SEARCH("INVALID ENTRY",I7)))</formula>
    </cfRule>
    <cfRule type="containsText" dxfId="38" priority="175" operator="containsText" text="MISSING MARK">
      <formula>NOT(ISERROR(SEARCH("MISSING MARK",I7)))</formula>
    </cfRule>
  </conditionalFormatting>
  <conditionalFormatting sqref="D7">
    <cfRule type="containsText" dxfId="37" priority="171" operator="containsText" text="FAIL">
      <formula>NOT(ISERROR(SEARCH("FAIL",D7)))</formula>
    </cfRule>
    <cfRule type="containsText" dxfId="36" priority="172" operator="containsText" text="PASS">
      <formula>NOT(ISERROR(SEARCH("PASS",D7)))</formula>
    </cfRule>
  </conditionalFormatting>
  <conditionalFormatting sqref="D8:D10">
    <cfRule type="containsText" dxfId="35" priority="166" operator="containsText" text="FAIL">
      <formula>NOT(ISERROR(SEARCH("FAIL",D8)))</formula>
    </cfRule>
    <cfRule type="containsText" dxfId="34" priority="167" operator="containsText" text="PASS">
      <formula>NOT(ISERROR(SEARCH("PASS",D8)))</formula>
    </cfRule>
  </conditionalFormatting>
  <conditionalFormatting sqref="D11:D15">
    <cfRule type="containsText" dxfId="33" priority="161" operator="containsText" text="FAIL">
      <formula>NOT(ISERROR(SEARCH("FAIL",D11)))</formula>
    </cfRule>
    <cfRule type="containsText" dxfId="32" priority="162" operator="containsText" text="PASS">
      <formula>NOT(ISERROR(SEARCH("PASS",D11)))</formula>
    </cfRule>
  </conditionalFormatting>
  <conditionalFormatting sqref="D16">
    <cfRule type="containsText" dxfId="31" priority="156" operator="containsText" text="FAIL">
      <formula>NOT(ISERROR(SEARCH("FAIL",D16)))</formula>
    </cfRule>
    <cfRule type="containsText" dxfId="30" priority="157" operator="containsText" text="PASS">
      <formula>NOT(ISERROR(SEARCH("PASS",D16)))</formula>
    </cfRule>
  </conditionalFormatting>
  <conditionalFormatting sqref="D17">
    <cfRule type="containsText" dxfId="29" priority="136" operator="containsText" text="FAIL">
      <formula>NOT(ISERROR(SEARCH("FAIL",D17)))</formula>
    </cfRule>
    <cfRule type="containsText" dxfId="28" priority="13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10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</sheetData>
  <mergeCells count="1">
    <mergeCell ref="F4:G4"/>
  </mergeCells>
  <conditionalFormatting sqref="I7:I17">
    <cfRule type="containsText" dxfId="27" priority="173" operator="containsText" text="INVALID MARK">
      <formula>NOT(ISERROR(SEARCH("INVALID MARK",I7)))</formula>
    </cfRule>
    <cfRule type="containsText" dxfId="26" priority="174" operator="containsText" text="INVALID ENTRY">
      <formula>NOT(ISERROR(SEARCH("INVALID ENTRY",I7)))</formula>
    </cfRule>
    <cfRule type="containsText" dxfId="25" priority="175" operator="containsText" text="MISSING MARK">
      <formula>NOT(ISERROR(SEARCH("MISSING MARK",I7)))</formula>
    </cfRule>
  </conditionalFormatting>
  <conditionalFormatting sqref="D7">
    <cfRule type="containsText" dxfId="24" priority="171" operator="containsText" text="FAIL">
      <formula>NOT(ISERROR(SEARCH("FAIL",D7)))</formula>
    </cfRule>
    <cfRule type="containsText" dxfId="23" priority="172" operator="containsText" text="PASS">
      <formula>NOT(ISERROR(SEARCH("PASS",D7)))</formula>
    </cfRule>
  </conditionalFormatting>
  <conditionalFormatting sqref="D8:D10">
    <cfRule type="containsText" dxfId="22" priority="166" operator="containsText" text="FAIL">
      <formula>NOT(ISERROR(SEARCH("FAIL",D8)))</formula>
    </cfRule>
    <cfRule type="containsText" dxfId="21" priority="167" operator="containsText" text="PASS">
      <formula>NOT(ISERROR(SEARCH("PASS",D8)))</formula>
    </cfRule>
  </conditionalFormatting>
  <conditionalFormatting sqref="D11:D15">
    <cfRule type="containsText" dxfId="20" priority="161" operator="containsText" text="FAIL">
      <formula>NOT(ISERROR(SEARCH("FAIL",D11)))</formula>
    </cfRule>
    <cfRule type="containsText" dxfId="19" priority="162" operator="containsText" text="PASS">
      <formula>NOT(ISERROR(SEARCH("PASS",D11)))</formula>
    </cfRule>
  </conditionalFormatting>
  <conditionalFormatting sqref="D16">
    <cfRule type="containsText" dxfId="18" priority="156" operator="containsText" text="FAIL">
      <formula>NOT(ISERROR(SEARCH("FAIL",D16)))</formula>
    </cfRule>
    <cfRule type="containsText" dxfId="17" priority="157" operator="containsText" text="PASS">
      <formula>NOT(ISERROR(SEARCH("PASS",D16)))</formula>
    </cfRule>
  </conditionalFormatting>
  <conditionalFormatting sqref="D17">
    <cfRule type="containsText" dxfId="16" priority="136" operator="containsText" text="FAIL">
      <formula>NOT(ISERROR(SEARCH("FAIL",D17)))</formula>
    </cfRule>
    <cfRule type="containsText" dxfId="15" priority="13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L9" sqref="L9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44" operator="containsText" text="INVALID MARK">
      <formula>NOT(ISERROR(SEARCH("INVALID MARK",I7)))</formula>
    </cfRule>
    <cfRule type="containsText" dxfId="13" priority="445" operator="containsText" text="INVALID ENTRY">
      <formula>NOT(ISERROR(SEARCH("INVALID ENTRY",I7)))</formula>
    </cfRule>
    <cfRule type="containsText" dxfId="12" priority="446" operator="containsText" text="MISSING MARK">
      <formula>NOT(ISERROR(SEARCH("MISSING MARK",I7)))</formula>
    </cfRule>
  </conditionalFormatting>
  <conditionalFormatting sqref="D7">
    <cfRule type="containsText" dxfId="11" priority="217" operator="containsText" text="FAIL">
      <formula>NOT(ISERROR(SEARCH("FAIL",D7)))</formula>
    </cfRule>
    <cfRule type="containsText" dxfId="10" priority="218" operator="containsText" text="PASS">
      <formula>NOT(ISERROR(SEARCH("PASS",D7)))</formula>
    </cfRule>
  </conditionalFormatting>
  <conditionalFormatting sqref="D8:D10">
    <cfRule type="containsText" dxfId="9" priority="199" operator="containsText" text="FAIL">
      <formula>NOT(ISERROR(SEARCH("FAIL",D8)))</formula>
    </cfRule>
    <cfRule type="containsText" dxfId="8" priority="200" operator="containsText" text="PASS">
      <formula>NOT(ISERROR(SEARCH("PASS",D8)))</formula>
    </cfRule>
  </conditionalFormatting>
  <conditionalFormatting sqref="H7:H16">
    <cfRule type="containsText" dxfId="7" priority="195" operator="containsText" text="INVALID MARK">
      <formula>NOT(ISERROR(SEARCH("INVALID MARK",H7)))</formula>
    </cfRule>
  </conditionalFormatting>
  <conditionalFormatting sqref="D11:D15">
    <cfRule type="containsText" dxfId="6" priority="193" operator="containsText" text="FAIL">
      <formula>NOT(ISERROR(SEARCH("FAIL",D11)))</formula>
    </cfRule>
    <cfRule type="containsText" dxfId="5" priority="194" operator="containsText" text="PASS">
      <formula>NOT(ISERROR(SEARCH("PASS",D11)))</formula>
    </cfRule>
  </conditionalFormatting>
  <conditionalFormatting sqref="D16">
    <cfRule type="containsText" dxfId="4" priority="187" operator="containsText" text="FAIL">
      <formula>NOT(ISERROR(SEARCH("FAIL",D16)))</formula>
    </cfRule>
    <cfRule type="containsText" dxfId="3" priority="188" operator="containsText" text="PASS">
      <formula>NOT(ISERROR(SEARCH("PASS",D16)))</formula>
    </cfRule>
  </conditionalFormatting>
  <conditionalFormatting sqref="H17">
    <cfRule type="containsText" dxfId="2" priority="168" operator="containsText" text="INVALID MARK">
      <formula>NOT(ISERROR(SEARCH("INVALID MARK",H17)))</formula>
    </cfRule>
  </conditionalFormatting>
  <conditionalFormatting sqref="D17">
    <cfRule type="containsText" dxfId="1" priority="163" operator="containsText" text="FAIL">
      <formula>NOT(ISERROR(SEARCH("FAIL",D17)))</formula>
    </cfRule>
    <cfRule type="containsText" dxfId="0" priority="164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2020-09-25T10:39:25Z</dcterms:modified>
</cp:coreProperties>
</file>