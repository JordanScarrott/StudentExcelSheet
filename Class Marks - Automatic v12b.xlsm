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K6" i="52" l="1"/>
  <c r="I10" i="54"/>
  <c r="I11" i="54"/>
  <c r="I12" i="54"/>
  <c r="I13" i="54"/>
  <c r="I14" i="54"/>
  <c r="I16" i="54"/>
  <c r="I17" i="54"/>
  <c r="I15" i="54"/>
  <c r="I8" i="54"/>
  <c r="I9" i="54"/>
  <c r="I7" i="54"/>
  <c r="I10" i="55"/>
  <c r="I11" i="55"/>
  <c r="I15" i="55"/>
  <c r="I8" i="55"/>
  <c r="I9" i="55"/>
  <c r="I12" i="55"/>
  <c r="I13" i="55"/>
  <c r="I14" i="55"/>
  <c r="I16" i="55"/>
  <c r="I17" i="55"/>
  <c r="I7" i="55"/>
  <c r="I10" i="56"/>
  <c r="I12" i="56"/>
  <c r="I13" i="56"/>
  <c r="I14" i="56"/>
  <c r="I8" i="56"/>
  <c r="I9" i="56"/>
  <c r="I11" i="56"/>
  <c r="I15" i="56"/>
  <c r="I16" i="56"/>
  <c r="I17" i="56"/>
  <c r="I7" i="56"/>
  <c r="I8" i="58"/>
  <c r="I16" i="58"/>
  <c r="I12" i="58"/>
  <c r="I14" i="58"/>
  <c r="I9" i="58"/>
  <c r="I17" i="58"/>
  <c r="I11" i="58"/>
  <c r="I13" i="58"/>
  <c r="I15" i="58"/>
  <c r="I10" i="58"/>
  <c r="I7" i="58"/>
  <c r="I12" i="52"/>
  <c r="I13" i="52"/>
  <c r="I14" i="52"/>
  <c r="I9" i="52"/>
  <c r="I10" i="52"/>
  <c r="I15" i="52"/>
  <c r="I16" i="52"/>
  <c r="I11" i="52"/>
  <c r="I7" i="52"/>
  <c r="I30" i="1"/>
  <c r="I31" i="1"/>
  <c r="I32" i="1"/>
  <c r="I28" i="1"/>
  <c r="I37" i="1"/>
  <c r="I33" i="1"/>
  <c r="I34" i="1"/>
  <c r="I36" i="1"/>
  <c r="I29" i="1"/>
  <c r="I35" i="1"/>
  <c r="K8" i="52" l="1"/>
  <c r="K9" i="52"/>
  <c r="K10" i="52"/>
  <c r="K11" i="52"/>
  <c r="K12" i="52"/>
  <c r="K13" i="52"/>
  <c r="K14" i="52"/>
  <c r="K15" i="52"/>
  <c r="K16" i="52"/>
  <c r="K17" i="52"/>
  <c r="K7" i="52"/>
  <c r="I38" i="1"/>
  <c r="M8" i="1" l="1"/>
  <c r="M4" i="1"/>
  <c r="M7" i="1"/>
  <c r="M6" i="1"/>
  <c r="M10" i="1"/>
  <c r="M11" i="1"/>
  <c r="M12" i="1"/>
  <c r="M5" i="1"/>
  <c r="M13" i="1"/>
  <c r="M9" i="1"/>
  <c r="N30" i="1"/>
  <c r="N34" i="1"/>
  <c r="N33" i="1"/>
  <c r="N32" i="1"/>
  <c r="N31" i="1"/>
  <c r="N29" i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D14" i="54" l="1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7" i="52"/>
  <c r="I8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2" i="1" l="1"/>
  <c r="M33" i="1"/>
  <c r="M31" i="1"/>
  <c r="M30" i="1"/>
  <c r="M29" i="1"/>
  <c r="M28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O37" i="1"/>
  <c r="P36" i="1"/>
  <c r="P37" i="1"/>
  <c r="Q36" i="1"/>
  <c r="N37" i="1"/>
  <c r="Q37" i="1"/>
  <c r="P38" i="1"/>
  <c r="O36" i="1"/>
  <c r="N36" i="1"/>
  <c r="M37" i="1" l="1"/>
  <c r="L37" i="1" s="1"/>
  <c r="O38" i="1"/>
  <c r="M36" i="1"/>
  <c r="L36" i="1" s="1"/>
  <c r="Q38" i="1"/>
  <c r="K36" i="1"/>
  <c r="J36" i="1" l="1"/>
  <c r="H36" i="1" s="1"/>
  <c r="N38" i="1"/>
  <c r="M38" i="1" s="1"/>
  <c r="L38" i="1" s="1"/>
  <c r="G36" i="1" l="1"/>
  <c r="Q35" i="1"/>
  <c r="O35" i="1"/>
  <c r="K37" i="1"/>
  <c r="J37" i="1" l="1"/>
  <c r="H37" i="1" s="1"/>
  <c r="P35" i="1"/>
  <c r="N35" i="1"/>
  <c r="M35" i="1" l="1"/>
  <c r="L35" i="1" s="1"/>
  <c r="G37" i="1"/>
  <c r="K38" i="1"/>
  <c r="J38" i="1" l="1"/>
  <c r="H38" i="1" s="1"/>
  <c r="K35" i="1"/>
  <c r="G38" i="1" l="1"/>
  <c r="J35" i="1"/>
  <c r="M17" i="1" l="1"/>
  <c r="M19" i="1"/>
  <c r="M18" i="1"/>
  <c r="G35" i="1"/>
  <c r="M16" i="1" s="1"/>
  <c r="H35" i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<sst xmlns="http://schemas.openxmlformats.org/spreadsheetml/2006/main" count="201" uniqueCount="105">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</sst>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70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topLeftCell="A4" zoomScaleNormal="100" workbookViewId="0">
      <selection activeCell="F33" sqref="F33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 t="shared" ref="M4:M13" si="0">COUNTIF(I$28:I$38, "="&amp;L4)</f>
        <v>2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 t="shared" si="0"/>
        <v>0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0.48981818181818176</v>
      </c>
    </row>
    <row r="18" spans="1:17" x14ac:dyDescent="0.25">
      <c r="J18" s="35"/>
      <c r="K18" s="108" t="s">
        <v>41</v>
      </c>
      <c r="L18" s="109"/>
      <c r="M18" s="61">
        <f>AVERAGE(J28:J38)</f>
        <v>0.6249421487603305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3">IF(AND(K28&gt;=D$13, J28&gt;=D$11), IF(OR(K28&lt;D$12, J28&lt;D$10), "WRITE SUPP", "NO SUPP"), "NO SUPP")</f>
        <v>NO SUPP</v>
      </c>
      <c r="H28" s="74" t="str">
        <f t="shared" ref="H28:H38" si="4">IF(K28&gt;=D$12, IF(J28&gt;=D$10, "PASS", "FAIL"), "FAIL")</f>
        <v>PASS</v>
      </c>
      <c r="I28" s="74" t="str">
        <f t="shared" ref="I28:I37" si="5">STUDENT_GRADE(J28,K$4:K$13,L$4:L$13)</f>
        <v>B</v>
      </c>
      <c r="J28" s="89">
        <f t="shared" ref="J28:J38" si="6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7"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3"/>
        <v>NO SUPP</v>
      </c>
      <c r="H29" s="74" t="str">
        <f t="shared" si="4"/>
        <v>PASS</v>
      </c>
      <c r="I29" s="74" t="str">
        <f t="shared" si="5"/>
        <v>A+</v>
      </c>
      <c r="J29" s="89">
        <f t="shared" si="6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7"/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C+</v>
      </c>
      <c r="J31" s="89">
        <f t="shared" si="6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7"/>
        <v>0.57272727272727275</v>
      </c>
      <c r="M31" s="74">
        <f t="shared" si="2"/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4"/>
        <v>FAIL</v>
      </c>
      <c r="I32" s="74" t="str">
        <f t="shared" si="5"/>
        <v>C+</v>
      </c>
      <c r="J32" s="89">
        <f t="shared" si="6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7"/>
        <v>0.70909090909090911</v>
      </c>
      <c r="M32" s="74">
        <f t="shared" si="2"/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3"/>
        <v>WRITE SUPP</v>
      </c>
      <c r="H33" s="74" t="str">
        <f t="shared" si="4"/>
        <v>FAIL</v>
      </c>
      <c r="I33" s="74" t="str">
        <f t="shared" si="5"/>
        <v>C-</v>
      </c>
      <c r="J33" s="89">
        <f t="shared" si="6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7"/>
        <v>0.38636363636363635</v>
      </c>
      <c r="M33" s="74">
        <f t="shared" si="2"/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3"/>
        <v>NO SUPP</v>
      </c>
      <c r="H34" s="74" t="str">
        <f t="shared" si="4"/>
        <v>PASS</v>
      </c>
      <c r="I34" s="74" t="str">
        <f t="shared" si="5"/>
        <v>C+</v>
      </c>
      <c r="J34" s="89">
        <f t="shared" si="6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7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3"/>
        <v>NO SUPP</v>
      </c>
      <c r="H35" s="74" t="str">
        <f t="shared" si="4"/>
        <v>PASS</v>
      </c>
      <c r="I35" s="74" t="str">
        <f t="shared" si="5"/>
        <v>A+</v>
      </c>
      <c r="J35" s="89">
        <f t="shared" si="6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7"/>
        <v>0.56818181818181823</v>
      </c>
      <c r="M35" s="74">
        <f t="shared" si="2"/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3"/>
        <v>NO SUPP</v>
      </c>
      <c r="H36" s="74" t="str">
        <f t="shared" si="4"/>
        <v>PASS</v>
      </c>
      <c r="I36" s="74" t="str">
        <f t="shared" si="5"/>
        <v>B</v>
      </c>
      <c r="J36" s="89">
        <f t="shared" si="6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7"/>
        <v>0.61818181818181817</v>
      </c>
      <c r="M36" s="74">
        <f t="shared" si="2"/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3"/>
        <v>NO SUPP</v>
      </c>
      <c r="H37" s="74" t="str">
        <f t="shared" si="4"/>
        <v>PASS</v>
      </c>
      <c r="I37" s="74" t="str">
        <f t="shared" si="5"/>
        <v>B+</v>
      </c>
      <c r="J37" s="89">
        <f t="shared" si="6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7"/>
        <v>0.72272727272727277</v>
      </c>
      <c r="M37" s="74">
        <f t="shared" si="2"/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3"/>
        <v>NO SUPP</v>
      </c>
      <c r="H38" s="74" t="str">
        <f t="shared" si="4"/>
        <v>PASS</v>
      </c>
      <c r="I38" s="74" t="str">
        <f>STUDENT_GRADE(J38,K$4:K$13,L$4:L$13)</f>
        <v>B-</v>
      </c>
      <c r="J38" s="89">
        <f t="shared" si="6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7"/>
        <v>0.58636363636363631</v>
      </c>
      <c r="M38" s="74">
        <f t="shared" si="2"/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G28">
    <cfRule type="containsText" dxfId="169" priority="5990" operator="containsText" text="WRITE SUPP">
      <formula>NOT(ISERROR(SEARCH("WRITE SUPP",G28)))</formula>
    </cfRule>
  </conditionalFormatting>
  <conditionalFormatting sqref="K28:K38">
    <cfRule type="containsText" dxfId="168" priority="2409" operator="containsText" text="MISSING MARK">
      <formula>NOT(ISERROR(SEARCH("MISSING MARK",K28)))</formula>
    </cfRule>
    <cfRule type="containsText" dxfId="167" priority="5986" operator="containsText" text="INVALID MARK">
      <formula>NOT(ISERROR(SEARCH("INVALID MARK",K28)))</formula>
    </cfRule>
    <cfRule type="cellIs" dxfId="166" priority="5993" operator="lessThan">
      <formula>$D$12</formula>
    </cfRule>
    <cfRule type="cellIs" priority="5994" operator="greaterThanOrEqual">
      <formula>$D$12</formula>
    </cfRule>
    <cfRule type="expression" dxfId="165" priority="5995">
      <formula>"&gt;=$D$10"</formula>
    </cfRule>
  </conditionalFormatting>
  <conditionalFormatting sqref="N28:N38">
    <cfRule type="containsText" dxfId="164" priority="5987" operator="containsText" text="INVALID MARK">
      <formula>NOT(ISERROR(SEARCH("INVALID MARK",N28)))</formula>
    </cfRule>
    <cfRule type="containsText" dxfId="163" priority="5988" operator="containsText" text="INVALID ENTRY">
      <formula>NOT(ISERROR(SEARCH("INVALID ENTRY",N28)))</formula>
    </cfRule>
    <cfRule type="containsText" dxfId="162" priority="5989" operator="containsText" text="MISSING MARK">
      <formula>NOT(ISERROR(SEARCH("MISSING MARK",N28)))</formula>
    </cfRule>
  </conditionalFormatting>
  <conditionalFormatting sqref="H28">
    <cfRule type="containsText" dxfId="161" priority="5985" operator="containsText" text="FAIL">
      <formula>NOT(ISERROR(SEARCH("FAIL",H28)))</formula>
    </cfRule>
  </conditionalFormatting>
  <conditionalFormatting sqref="G29:G31">
    <cfRule type="containsText" dxfId="160" priority="2549" operator="containsText" text="WRITE SUPP">
      <formula>NOT(ISERROR(SEARCH("WRITE SUPP",G29)))</formula>
    </cfRule>
  </conditionalFormatting>
  <conditionalFormatting sqref="J28:J37">
    <cfRule type="cellIs" dxfId="159" priority="2551" operator="lessThan">
      <formula>$D$10</formula>
    </cfRule>
  </conditionalFormatting>
  <conditionalFormatting sqref="H29:H31">
    <cfRule type="containsText" dxfId="158" priority="2544" operator="containsText" text="FAIL">
      <formula>NOT(ISERROR(SEARCH("FAIL",H29)))</formula>
    </cfRule>
  </conditionalFormatting>
  <conditionalFormatting sqref="O28">
    <cfRule type="containsText" dxfId="157" priority="2537" operator="containsText" text="INVALID MARK">
      <formula>NOT(ISERROR(SEARCH("INVALID MARK",O28)))</formula>
    </cfRule>
    <cfRule type="containsText" dxfId="156" priority="2538" operator="containsText" text="INVALID ENTRY">
      <formula>NOT(ISERROR(SEARCH("INVALID ENTRY",O28)))</formula>
    </cfRule>
    <cfRule type="containsText" dxfId="155" priority="2539" operator="containsText" text="MISSING MARK">
      <formula>NOT(ISERROR(SEARCH("MISSING MARK",O28)))</formula>
    </cfRule>
  </conditionalFormatting>
  <conditionalFormatting sqref="O29:O31">
    <cfRule type="containsText" dxfId="154" priority="2534" operator="containsText" text="INVALID MARK">
      <formula>NOT(ISERROR(SEARCH("INVALID MARK",O29)))</formula>
    </cfRule>
    <cfRule type="containsText" dxfId="153" priority="2535" operator="containsText" text="INVALID ENTRY">
      <formula>NOT(ISERROR(SEARCH("INVALID ENTRY",O29)))</formula>
    </cfRule>
    <cfRule type="containsText" dxfId="152" priority="2536" operator="containsText" text="MISSING MARK">
      <formula>NOT(ISERROR(SEARCH("MISSING MARK",O29)))</formula>
    </cfRule>
  </conditionalFormatting>
  <conditionalFormatting sqref="P28">
    <cfRule type="containsText" dxfId="151" priority="2531" operator="containsText" text="INVALID MARK">
      <formula>NOT(ISERROR(SEARCH("INVALID MARK",P28)))</formula>
    </cfRule>
    <cfRule type="containsText" dxfId="150" priority="2532" operator="containsText" text="INVALID ENTRY">
      <formula>NOT(ISERROR(SEARCH("INVALID ENTRY",P28)))</formula>
    </cfRule>
    <cfRule type="containsText" dxfId="149" priority="2533" operator="containsText" text="MISSING MARK">
      <formula>NOT(ISERROR(SEARCH("MISSING MARK",P28)))</formula>
    </cfRule>
  </conditionalFormatting>
  <conditionalFormatting sqref="P29:P31">
    <cfRule type="containsText" dxfId="148" priority="2528" operator="containsText" text="INVALID MARK">
      <formula>NOT(ISERROR(SEARCH("INVALID MARK",P29)))</formula>
    </cfRule>
    <cfRule type="containsText" dxfId="147" priority="2529" operator="containsText" text="INVALID ENTRY">
      <formula>NOT(ISERROR(SEARCH("INVALID ENTRY",P29)))</formula>
    </cfRule>
    <cfRule type="containsText" dxfId="146" priority="2530" operator="containsText" text="MISSING MARK">
      <formula>NOT(ISERROR(SEARCH("MISSING MARK",P29)))</formula>
    </cfRule>
  </conditionalFormatting>
  <conditionalFormatting sqref="Q28">
    <cfRule type="containsText" dxfId="145" priority="2519" operator="containsText" text="INVALID MARK">
      <formula>NOT(ISERROR(SEARCH("INVALID MARK",Q28)))</formula>
    </cfRule>
    <cfRule type="containsText" dxfId="144" priority="2520" operator="containsText" text="INVALID ENTRY">
      <formula>NOT(ISERROR(SEARCH("INVALID ENTRY",Q28)))</formula>
    </cfRule>
    <cfRule type="containsText" dxfId="143" priority="2521" operator="containsText" text="MISSING MARK">
      <formula>NOT(ISERROR(SEARCH("MISSING MARK",Q28)))</formula>
    </cfRule>
  </conditionalFormatting>
  <conditionalFormatting sqref="Q29:Q31">
    <cfRule type="containsText" dxfId="142" priority="2516" operator="containsText" text="INVALID MARK">
      <formula>NOT(ISERROR(SEARCH("INVALID MARK",Q29)))</formula>
    </cfRule>
    <cfRule type="containsText" dxfId="141" priority="2517" operator="containsText" text="INVALID ENTRY">
      <formula>NOT(ISERROR(SEARCH("INVALID ENTRY",Q29)))</formula>
    </cfRule>
    <cfRule type="containsText" dxfId="140" priority="2518" operator="containsText" text="MISSING MARK">
      <formula>NOT(ISERROR(SEARCH("MISSING MARK",Q29)))</formula>
    </cfRule>
  </conditionalFormatting>
  <conditionalFormatting sqref="G32:G36">
    <cfRule type="containsText" dxfId="139" priority="2510" operator="containsText" text="WRITE SUPP">
      <formula>NOT(ISERROR(SEARCH("WRITE SUPP",G32)))</formula>
    </cfRule>
  </conditionalFormatting>
  <conditionalFormatting sqref="H32:H36">
    <cfRule type="containsText" dxfId="138" priority="2505" operator="containsText" text="FAIL">
      <formula>NOT(ISERROR(SEARCH("FAIL",H32)))</formula>
    </cfRule>
  </conditionalFormatting>
  <conditionalFormatting sqref="O32:O36">
    <cfRule type="containsText" dxfId="137" priority="2498" operator="containsText" text="INVALID MARK">
      <formula>NOT(ISERROR(SEARCH("INVALID MARK",O32)))</formula>
    </cfRule>
    <cfRule type="containsText" dxfId="136" priority="2499" operator="containsText" text="INVALID ENTRY">
      <formula>NOT(ISERROR(SEARCH("INVALID ENTRY",O32)))</formula>
    </cfRule>
    <cfRule type="containsText" dxfId="135" priority="2500" operator="containsText" text="MISSING MARK">
      <formula>NOT(ISERROR(SEARCH("MISSING MARK",O32)))</formula>
    </cfRule>
  </conditionalFormatting>
  <conditionalFormatting sqref="P32:P36">
    <cfRule type="containsText" dxfId="134" priority="2495" operator="containsText" text="INVALID MARK">
      <formula>NOT(ISERROR(SEARCH("INVALID MARK",P32)))</formula>
    </cfRule>
    <cfRule type="containsText" dxfId="133" priority="2496" operator="containsText" text="INVALID ENTRY">
      <formula>NOT(ISERROR(SEARCH("INVALID ENTRY",P32)))</formula>
    </cfRule>
    <cfRule type="containsText" dxfId="132" priority="2497" operator="containsText" text="MISSING MARK">
      <formula>NOT(ISERROR(SEARCH("MISSING MARK",P32)))</formula>
    </cfRule>
  </conditionalFormatting>
  <conditionalFormatting sqref="Q32:Q36">
    <cfRule type="containsText" dxfId="131" priority="2492" operator="containsText" text="INVALID MARK">
      <formula>NOT(ISERROR(SEARCH("INVALID MARK",Q32)))</formula>
    </cfRule>
    <cfRule type="containsText" dxfId="130" priority="2493" operator="containsText" text="INVALID ENTRY">
      <formula>NOT(ISERROR(SEARCH("INVALID ENTRY",Q32)))</formula>
    </cfRule>
    <cfRule type="containsText" dxfId="129" priority="2494" operator="containsText" text="MISSING MARK">
      <formula>NOT(ISERROR(SEARCH("MISSING MARK",Q32)))</formula>
    </cfRule>
  </conditionalFormatting>
  <conditionalFormatting sqref="G37">
    <cfRule type="containsText" dxfId="128" priority="2477" operator="containsText" text="WRITE SUPP">
      <formula>NOT(ISERROR(SEARCH("WRITE SUPP",G37)))</formula>
    </cfRule>
  </conditionalFormatting>
  <conditionalFormatting sqref="H37">
    <cfRule type="containsText" dxfId="127" priority="2472" operator="containsText" text="FAIL">
      <formula>NOT(ISERROR(SEARCH("FAIL",H37)))</formula>
    </cfRule>
  </conditionalFormatting>
  <conditionalFormatting sqref="O37">
    <cfRule type="containsText" dxfId="126" priority="2465" operator="containsText" text="INVALID MARK">
      <formula>NOT(ISERROR(SEARCH("INVALID MARK",O37)))</formula>
    </cfRule>
    <cfRule type="containsText" dxfId="125" priority="2466" operator="containsText" text="INVALID ENTRY">
      <formula>NOT(ISERROR(SEARCH("INVALID ENTRY",O37)))</formula>
    </cfRule>
    <cfRule type="containsText" dxfId="124" priority="2467" operator="containsText" text="MISSING MARK">
      <formula>NOT(ISERROR(SEARCH("MISSING MARK",O37)))</formula>
    </cfRule>
  </conditionalFormatting>
  <conditionalFormatting sqref="P37">
    <cfRule type="containsText" dxfId="123" priority="2462" operator="containsText" text="INVALID MARK">
      <formula>NOT(ISERROR(SEARCH("INVALID MARK",P37)))</formula>
    </cfRule>
    <cfRule type="containsText" dxfId="122" priority="2463" operator="containsText" text="INVALID ENTRY">
      <formula>NOT(ISERROR(SEARCH("INVALID ENTRY",P37)))</formula>
    </cfRule>
    <cfRule type="containsText" dxfId="121" priority="2464" operator="containsText" text="MISSING MARK">
      <formula>NOT(ISERROR(SEARCH("MISSING MARK",P37)))</formula>
    </cfRule>
  </conditionalFormatting>
  <conditionalFormatting sqref="Q37">
    <cfRule type="containsText" dxfId="120" priority="2459" operator="containsText" text="INVALID MARK">
      <formula>NOT(ISERROR(SEARCH("INVALID MARK",Q37)))</formula>
    </cfRule>
    <cfRule type="containsText" dxfId="119" priority="2460" operator="containsText" text="INVALID ENTRY">
      <formula>NOT(ISERROR(SEARCH("INVALID ENTRY",Q37)))</formula>
    </cfRule>
    <cfRule type="containsText" dxfId="118" priority="2461" operator="containsText" text="MISSING MARK">
      <formula>NOT(ISERROR(SEARCH("MISSING MARK",Q37)))</formula>
    </cfRule>
  </conditionalFormatting>
  <conditionalFormatting sqref="J38">
    <cfRule type="cellIs" dxfId="117" priority="2379" operator="lessThan">
      <formula>$D$10</formula>
    </cfRule>
  </conditionalFormatting>
  <conditionalFormatting sqref="G38">
    <cfRule type="containsText" dxfId="116" priority="2377" operator="containsText" text="WRITE SUPP">
      <formula>NOT(ISERROR(SEARCH("WRITE SUPP",G38)))</formula>
    </cfRule>
  </conditionalFormatting>
  <conditionalFormatting sqref="H38">
    <cfRule type="containsText" dxfId="115" priority="2373" operator="containsText" text="FAIL">
      <formula>NOT(ISERROR(SEARCH("FAIL",H38)))</formula>
    </cfRule>
  </conditionalFormatting>
  <conditionalFormatting sqref="O38">
    <cfRule type="containsText" dxfId="114" priority="2366" operator="containsText" text="INVALID MARK">
      <formula>NOT(ISERROR(SEARCH("INVALID MARK",O38)))</formula>
    </cfRule>
    <cfRule type="containsText" dxfId="113" priority="2367" operator="containsText" text="INVALID ENTRY">
      <formula>NOT(ISERROR(SEARCH("INVALID ENTRY",O38)))</formula>
    </cfRule>
    <cfRule type="containsText" dxfId="112" priority="2368" operator="containsText" text="MISSING MARK">
      <formula>NOT(ISERROR(SEARCH("MISSING MARK",O38)))</formula>
    </cfRule>
  </conditionalFormatting>
  <conditionalFormatting sqref="P38">
    <cfRule type="containsText" dxfId="111" priority="2363" operator="containsText" text="INVALID MARK">
      <formula>NOT(ISERROR(SEARCH("INVALID MARK",P38)))</formula>
    </cfRule>
    <cfRule type="containsText" dxfId="110" priority="2364" operator="containsText" text="INVALID ENTRY">
      <formula>NOT(ISERROR(SEARCH("INVALID ENTRY",P38)))</formula>
    </cfRule>
    <cfRule type="containsText" dxfId="109" priority="2365" operator="containsText" text="MISSING MARK">
      <formula>NOT(ISERROR(SEARCH("MISSING MARK",P38)))</formula>
    </cfRule>
  </conditionalFormatting>
  <conditionalFormatting sqref="Q38">
    <cfRule type="containsText" dxfId="108" priority="2360" operator="containsText" text="INVALID MARK">
      <formula>NOT(ISERROR(SEARCH("INVALID MARK",Q38)))</formula>
    </cfRule>
    <cfRule type="containsText" dxfId="107" priority="2361" operator="containsText" text="INVALID ENTRY">
      <formula>NOT(ISERROR(SEARCH("INVALID ENTRY",Q38)))</formula>
    </cfRule>
    <cfRule type="containsText" dxfId="106" priority="2362" operator="containsText" text="MISSING MARK">
      <formula>NOT(ISERROR(SEARCH("MISSING MARK",Q38)))</formula>
    </cfRule>
  </conditionalFormatting>
  <conditionalFormatting sqref="K28:K38">
    <cfRule type="containsText" dxfId="105" priority="1228" operator="containsText" text="INVALID ENTRY">
      <formula>NOT(ISERROR(SEARCH("INVALID ENTRY",K28)))</formula>
    </cfRule>
  </conditionalFormatting>
  <conditionalFormatting sqref="I28:I38">
    <cfRule type="cellIs" dxfId="104" priority="66" operator="equal">
      <formula>$L$11</formula>
    </cfRule>
    <cfRule type="cellIs" dxfId="103" priority="68" operator="equal">
      <formula>$L$9</formula>
    </cfRule>
    <cfRule type="cellIs" dxfId="102" priority="82" operator="equal">
      <formula>$L$8</formula>
    </cfRule>
    <cfRule type="cellIs" dxfId="101" priority="84" operator="equal">
      <formula>$L$6</formula>
    </cfRule>
    <cfRule type="cellIs" dxfId="100" priority="85" operator="equal">
      <formula>$L$5</formula>
    </cfRule>
    <cfRule type="cellIs" dxfId="99" priority="90" operator="equal">
      <formula>$L$4</formula>
    </cfRule>
  </conditionalFormatting>
  <conditionalFormatting sqref="I28:I38">
    <cfRule type="cellIs" dxfId="98" priority="64" operator="equal">
      <formula>$L$13</formula>
    </cfRule>
    <cfRule type="cellIs" dxfId="97" priority="65" operator="equal">
      <formula>$L$12</formula>
    </cfRule>
    <cfRule type="cellIs" dxfId="96" priority="67" operator="equal">
      <formula>$L$10</formula>
    </cfRule>
    <cfRule type="cellIs" dxfId="95" priority="83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>ERROR_CHECK_MARK(L7:U7,L$6:U$6,H7,K$6)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4">IF(K8/K$6-J8&gt;=0, K8/K$6-J8, 0)</f>
        <v>0.8</v>
      </c>
      <c r="I8" s="20">
        <f t="shared" ref="I8:I17" si="5">ERROR_CHECK_MARK(L8:U8,L$6:U$6,H8,K$6)</f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4"/>
        <v>0.4</v>
      </c>
      <c r="I9" s="20">
        <f t="shared" si="5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4"/>
        <v>0.5</v>
      </c>
      <c r="I10" s="20">
        <f t="shared" si="5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5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5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5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5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5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5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5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94" priority="461" operator="containsText" text="INVALID MARK">
      <formula>NOT(ISERROR(SEARCH("INVALID MARK",I7)))</formula>
    </cfRule>
    <cfRule type="containsText" dxfId="93" priority="462" operator="containsText" text="INVALID ENTRY">
      <formula>NOT(ISERROR(SEARCH("INVALID ENTRY",I7)))</formula>
    </cfRule>
    <cfRule type="containsText" dxfId="92" priority="463" operator="containsText" text="MISSING MARK">
      <formula>NOT(ISERROR(SEARCH("MISSING MARK",I7)))</formula>
    </cfRule>
  </conditionalFormatting>
  <conditionalFormatting sqref="D7">
    <cfRule type="containsText" dxfId="91" priority="291" operator="containsText" text="FAIL">
      <formula>NOT(ISERROR(SEARCH("FAIL",D7)))</formula>
    </cfRule>
    <cfRule type="containsText" dxfId="90" priority="292" operator="containsText" text="PASS">
      <formula>NOT(ISERROR(SEARCH("PASS",D7)))</formula>
    </cfRule>
  </conditionalFormatting>
  <conditionalFormatting sqref="D8:D10">
    <cfRule type="containsText" dxfId="89" priority="276" operator="containsText" text="FAIL">
      <formula>NOT(ISERROR(SEARCH("FAIL",D8)))</formula>
    </cfRule>
    <cfRule type="containsText" dxfId="88" priority="277" operator="containsText" text="PASS">
      <formula>NOT(ISERROR(SEARCH("PASS",D8)))</formula>
    </cfRule>
  </conditionalFormatting>
  <conditionalFormatting sqref="D11:D15">
    <cfRule type="containsText" dxfId="87" priority="271" operator="containsText" text="FAIL">
      <formula>NOT(ISERROR(SEARCH("FAIL",D11)))</formula>
    </cfRule>
    <cfRule type="containsText" dxfId="86" priority="272" operator="containsText" text="PASS">
      <formula>NOT(ISERROR(SEARCH("PASS",D11)))</formula>
    </cfRule>
  </conditionalFormatting>
  <conditionalFormatting sqref="D16">
    <cfRule type="containsText" dxfId="85" priority="266" operator="containsText" text="FAIL">
      <formula>NOT(ISERROR(SEARCH("FAIL",D16)))</formula>
    </cfRule>
    <cfRule type="containsText" dxfId="84" priority="267" operator="containsText" text="PASS">
      <formula>NOT(ISERROR(SEARCH("PASS",D16)))</formula>
    </cfRule>
  </conditionalFormatting>
  <conditionalFormatting sqref="D17">
    <cfRule type="containsText" dxfId="83" priority="246" operator="containsText" text="FAIL">
      <formula>NOT(ISERROR(SEARCH("FAIL",D17)))</formula>
    </cfRule>
    <cfRule type="containsText" dxfId="82" priority="24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55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>ERROR_CHECK_MARK(L7:U7,L$6:U$6,H7,K$6)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ref="I8:I17" si="4">ERROR_CHECK_MARK(L8:U8,L$6:U$6,H8,K$6)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4"/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4"/>
        <v>17</v>
      </c>
      <c r="J10" s="28">
        <v>0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4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4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4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4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4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4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4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</sheetData>
  <mergeCells count="1">
    <mergeCell ref="F4:G4"/>
  </mergeCells>
  <conditionalFormatting sqref="I7:I17">
    <cfRule type="containsText" dxfId="81" priority="283" operator="containsText" text="INVALID MARK">
      <formula>NOT(ISERROR(SEARCH("INVALID MARK",I7)))</formula>
    </cfRule>
    <cfRule type="containsText" dxfId="80" priority="284" operator="containsText" text="INVALID ENTRY">
      <formula>NOT(ISERROR(SEARCH("INVALID ENTRY",I7)))</formula>
    </cfRule>
    <cfRule type="containsText" dxfId="79" priority="285" operator="containsText" text="MISSING MARK">
      <formula>NOT(ISERROR(SEARCH("MISSING MARK",I7)))</formula>
    </cfRule>
  </conditionalFormatting>
  <conditionalFormatting sqref="D7">
    <cfRule type="containsText" dxfId="78" priority="281" operator="containsText" text="FAIL">
      <formula>NOT(ISERROR(SEARCH("FAIL",D7)))</formula>
    </cfRule>
    <cfRule type="containsText" dxfId="77" priority="282" operator="containsText" text="PASS">
      <formula>NOT(ISERROR(SEARCH("PASS",D7)))</formula>
    </cfRule>
  </conditionalFormatting>
  <conditionalFormatting sqref="D8:D10">
    <cfRule type="containsText" dxfId="76" priority="276" operator="containsText" text="FAIL">
      <formula>NOT(ISERROR(SEARCH("FAIL",D8)))</formula>
    </cfRule>
    <cfRule type="containsText" dxfId="75" priority="277" operator="containsText" text="PASS">
      <formula>NOT(ISERROR(SEARCH("PASS",D8)))</formula>
    </cfRule>
  </conditionalFormatting>
  <conditionalFormatting sqref="D11:D15">
    <cfRule type="containsText" dxfId="74" priority="271" operator="containsText" text="FAIL">
      <formula>NOT(ISERROR(SEARCH("FAIL",D11)))</formula>
    </cfRule>
    <cfRule type="containsText" dxfId="73" priority="272" operator="containsText" text="PASS">
      <formula>NOT(ISERROR(SEARCH("PASS",D11)))</formula>
    </cfRule>
  </conditionalFormatting>
  <conditionalFormatting sqref="D16">
    <cfRule type="containsText" dxfId="72" priority="266" operator="containsText" text="FAIL">
      <formula>NOT(ISERROR(SEARCH("FAIL",D16)))</formula>
    </cfRule>
    <cfRule type="containsText" dxfId="71" priority="267" operator="containsText" text="PASS">
      <formula>NOT(ISERROR(SEARCH("PASS",D16)))</formula>
    </cfRule>
  </conditionalFormatting>
  <conditionalFormatting sqref="D17">
    <cfRule type="containsText" dxfId="70" priority="246" operator="containsText" text="FAIL">
      <formula>NOT(ISERROR(SEARCH("FAIL",D17)))</formula>
    </cfRule>
    <cfRule type="containsText" dxfId="69" priority="2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55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>ERROR_CHECK_MARK(L7:U7,L$6:U$6,H7,K$6)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ref="I8:I17" si="4">ERROR_CHECK_MARK(L8:U8,L$6:U$6,H8,K$6)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4"/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4"/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4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4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4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4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4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4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4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</sheetData>
  <mergeCells count="1">
    <mergeCell ref="F4:G4"/>
  </mergeCells>
  <conditionalFormatting sqref="I7:I17">
    <cfRule type="containsText" dxfId="68" priority="283" operator="containsText" text="INVALID MARK">
      <formula>NOT(ISERROR(SEARCH("INVALID MARK",I7)))</formula>
    </cfRule>
    <cfRule type="containsText" dxfId="67" priority="284" operator="containsText" text="INVALID ENTRY">
      <formula>NOT(ISERROR(SEARCH("INVALID ENTRY",I7)))</formula>
    </cfRule>
    <cfRule type="containsText" dxfId="66" priority="285" operator="containsText" text="MISSING MARK">
      <formula>NOT(ISERROR(SEARCH("MISSING MARK",I7)))</formula>
    </cfRule>
  </conditionalFormatting>
  <conditionalFormatting sqref="D7">
    <cfRule type="containsText" dxfId="65" priority="281" operator="containsText" text="FAIL">
      <formula>NOT(ISERROR(SEARCH("FAIL",D7)))</formula>
    </cfRule>
    <cfRule type="containsText" dxfId="64" priority="282" operator="containsText" text="PASS">
      <formula>NOT(ISERROR(SEARCH("PASS",D7)))</formula>
    </cfRule>
  </conditionalFormatting>
  <conditionalFormatting sqref="D8:D10">
    <cfRule type="containsText" dxfId="63" priority="276" operator="containsText" text="FAIL">
      <formula>NOT(ISERROR(SEARCH("FAIL",D8)))</formula>
    </cfRule>
    <cfRule type="containsText" dxfId="62" priority="277" operator="containsText" text="PASS">
      <formula>NOT(ISERROR(SEARCH("PASS",D8)))</formula>
    </cfRule>
  </conditionalFormatting>
  <conditionalFormatting sqref="D11:D15">
    <cfRule type="containsText" dxfId="61" priority="271" operator="containsText" text="FAIL">
      <formula>NOT(ISERROR(SEARCH("FAIL",D11)))</formula>
    </cfRule>
    <cfRule type="containsText" dxfId="60" priority="272" operator="containsText" text="PASS">
      <formula>NOT(ISERROR(SEARCH("PASS",D11)))</formula>
    </cfRule>
  </conditionalFormatting>
  <conditionalFormatting sqref="D16">
    <cfRule type="containsText" dxfId="59" priority="266" operator="containsText" text="FAIL">
      <formula>NOT(ISERROR(SEARCH("FAIL",D16)))</formula>
    </cfRule>
    <cfRule type="containsText" dxfId="58" priority="267" operator="containsText" text="PASS">
      <formula>NOT(ISERROR(SEARCH("PASS",D16)))</formula>
    </cfRule>
  </conditionalFormatting>
  <conditionalFormatting sqref="D17">
    <cfRule type="containsText" dxfId="57" priority="246" operator="containsText" text="FAIL">
      <formula>NOT(ISERROR(SEARCH("FAIL",D17)))</formula>
    </cfRule>
    <cfRule type="containsText" dxfId="56" priority="2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55"/>
  <sheetViews>
    <sheetView workbookViewId="0">
      <selection activeCell="I23" sqref="I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>ERROR_CHECK_MARK(L7:U7,L$6:U$6,H7,K$6)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ref="I8:I17" si="4">ERROR_CHECK_MARK(L8:U8,L$6:U$6,H8,K$6)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4"/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4"/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4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4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4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4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4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4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4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</sheetData>
  <mergeCells count="1">
    <mergeCell ref="F4:G4"/>
  </mergeCells>
  <conditionalFormatting sqref="I7:I17">
    <cfRule type="containsText" dxfId="55" priority="283" operator="containsText" text="INVALID MARK">
      <formula>NOT(ISERROR(SEARCH("INVALID MARK",I7)))</formula>
    </cfRule>
    <cfRule type="containsText" dxfId="54" priority="284" operator="containsText" text="INVALID ENTRY">
      <formula>NOT(ISERROR(SEARCH("INVALID ENTRY",I7)))</formula>
    </cfRule>
    <cfRule type="containsText" dxfId="53" priority="285" operator="containsText" text="MISSING MARK">
      <formula>NOT(ISERROR(SEARCH("MISSING MARK",I7)))</formula>
    </cfRule>
  </conditionalFormatting>
  <conditionalFormatting sqref="D7">
    <cfRule type="containsText" dxfId="52" priority="281" operator="containsText" text="FAIL">
      <formula>NOT(ISERROR(SEARCH("FAIL",D7)))</formula>
    </cfRule>
    <cfRule type="containsText" dxfId="51" priority="282" operator="containsText" text="PASS">
      <formula>NOT(ISERROR(SEARCH("PASS",D7)))</formula>
    </cfRule>
  </conditionalFormatting>
  <conditionalFormatting sqref="D8:D10">
    <cfRule type="containsText" dxfId="50" priority="276" operator="containsText" text="FAIL">
      <formula>NOT(ISERROR(SEARCH("FAIL",D8)))</formula>
    </cfRule>
    <cfRule type="containsText" dxfId="49" priority="277" operator="containsText" text="PASS">
      <formula>NOT(ISERROR(SEARCH("PASS",D8)))</formula>
    </cfRule>
  </conditionalFormatting>
  <conditionalFormatting sqref="D11:D15">
    <cfRule type="containsText" dxfId="48" priority="271" operator="containsText" text="FAIL">
      <formula>NOT(ISERROR(SEARCH("FAIL",D11)))</formula>
    </cfRule>
    <cfRule type="containsText" dxfId="47" priority="272" operator="containsText" text="PASS">
      <formula>NOT(ISERROR(SEARCH("PASS",D11)))</formula>
    </cfRule>
  </conditionalFormatting>
  <conditionalFormatting sqref="D16">
    <cfRule type="containsText" dxfId="46" priority="266" operator="containsText" text="FAIL">
      <formula>NOT(ISERROR(SEARCH("FAIL",D16)))</formula>
    </cfRule>
    <cfRule type="containsText" dxfId="45" priority="267" operator="containsText" text="PASS">
      <formula>NOT(ISERROR(SEARCH("PASS",D16)))</formula>
    </cfRule>
  </conditionalFormatting>
  <conditionalFormatting sqref="D17">
    <cfRule type="containsText" dxfId="44" priority="246" operator="containsText" text="FAIL">
      <formula>NOT(ISERROR(SEARCH("FAIL",D17)))</formula>
    </cfRule>
    <cfRule type="containsText" dxfId="43" priority="2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1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ref="I8:I17" si="2">ERROR_CHECK_MARK(L8:U8,L$6:U$6,H8,K$6)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1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2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1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2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2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2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2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2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2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2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2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7" priority="570" operator="containsText" text="INVALID MARK">
      <formula>NOT(ISERROR(SEARCH("INVALID MARK",I7)))</formula>
    </cfRule>
    <cfRule type="containsText" dxfId="16" priority="571" operator="containsText" text="INVALID ENTRY">
      <formula>NOT(ISERROR(SEARCH("INVALID ENTRY",I7)))</formula>
    </cfRule>
    <cfRule type="containsText" dxfId="15" priority="572" operator="containsText" text="MISSING MARK">
      <formula>NOT(ISERROR(SEARCH("MISSING MARK",I7)))</formula>
    </cfRule>
  </conditionalFormatting>
  <conditionalFormatting sqref="D7">
    <cfRule type="containsText" dxfId="42" priority="343" operator="containsText" text="FAIL">
      <formula>NOT(ISERROR(SEARCH("FAIL",D7)))</formula>
    </cfRule>
    <cfRule type="containsText" dxfId="41" priority="344" operator="containsText" text="PASS">
      <formula>NOT(ISERROR(SEARCH("PASS",D7)))</formula>
    </cfRule>
  </conditionalFormatting>
  <conditionalFormatting sqref="D8:D10">
    <cfRule type="containsText" dxfId="40" priority="325" operator="containsText" text="FAIL">
      <formula>NOT(ISERROR(SEARCH("FAIL",D8)))</formula>
    </cfRule>
    <cfRule type="containsText" dxfId="39" priority="326" operator="containsText" text="PASS">
      <formula>NOT(ISERROR(SEARCH("PASS",D8)))</formula>
    </cfRule>
  </conditionalFormatting>
  <conditionalFormatting sqref="H7:H16">
    <cfRule type="containsText" dxfId="38" priority="321" operator="containsText" text="INVALID MARK">
      <formula>NOT(ISERROR(SEARCH("INVALID MARK",H7)))</formula>
    </cfRule>
  </conditionalFormatting>
  <conditionalFormatting sqref="D11:D15">
    <cfRule type="containsText" dxfId="37" priority="319" operator="containsText" text="FAIL">
      <formula>NOT(ISERROR(SEARCH("FAIL",D11)))</formula>
    </cfRule>
    <cfRule type="containsText" dxfId="36" priority="320" operator="containsText" text="PASS">
      <formula>NOT(ISERROR(SEARCH("PASS",D11)))</formula>
    </cfRule>
  </conditionalFormatting>
  <conditionalFormatting sqref="D16">
    <cfRule type="containsText" dxfId="35" priority="313" operator="containsText" text="FAIL">
      <formula>NOT(ISERROR(SEARCH("FAIL",D16)))</formula>
    </cfRule>
    <cfRule type="containsText" dxfId="34" priority="314" operator="containsText" text="PASS">
      <formula>NOT(ISERROR(SEARCH("PASS",D16)))</formula>
    </cfRule>
  </conditionalFormatting>
  <conditionalFormatting sqref="H17">
    <cfRule type="containsText" dxfId="33" priority="294" operator="containsText" text="INVALID MARK">
      <formula>NOT(ISERROR(SEARCH("INVALID MARK",H17)))</formula>
    </cfRule>
  </conditionalFormatting>
  <conditionalFormatting sqref="D17">
    <cfRule type="containsText" dxfId="32" priority="289" operator="containsText" text="FAIL">
      <formula>NOT(ISERROR(SEARCH("FAIL",D17)))</formula>
    </cfRule>
    <cfRule type="containsText" dxfId="31" priority="290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2020-10-10T15:46:28Z</dcterms:modified>
</cp:coreProperties>
</file>