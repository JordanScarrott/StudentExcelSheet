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K17" i="52" l="1"/>
  <c r="H17" i="52" s="1"/>
  <c r="D17" i="52" s="1"/>
  <c r="G17" i="52"/>
  <c r="F17" i="52"/>
  <c r="E17" i="52"/>
  <c r="K17" i="58"/>
  <c r="H17" i="58" s="1"/>
  <c r="D17" i="58" s="1"/>
  <c r="G17" i="58"/>
  <c r="F17" i="58"/>
  <c r="E17" i="58"/>
  <c r="K17" i="56"/>
  <c r="H17" i="56" s="1"/>
  <c r="D17" i="56" s="1"/>
  <c r="G17" i="56"/>
  <c r="F17" i="56"/>
  <c r="E17" i="56"/>
  <c r="K17" i="55"/>
  <c r="H17" i="55" s="1"/>
  <c r="D17" i="55" s="1"/>
  <c r="G17" i="55"/>
  <c r="F17" i="55"/>
  <c r="E17" i="55"/>
  <c r="K17" i="54"/>
  <c r="H17" i="54" s="1"/>
  <c r="D17" i="54" s="1"/>
  <c r="G17" i="54"/>
  <c r="F17" i="54"/>
  <c r="E17" i="54"/>
  <c r="I17" i="52"/>
  <c r="I17" i="58"/>
  <c r="I17" i="56"/>
  <c r="I17" i="55"/>
  <c r="I17" i="54"/>
  <c r="K38" i="1" l="1"/>
  <c r="Q38" i="1"/>
  <c r="P38" i="1"/>
  <c r="O38" i="1"/>
  <c r="N38" i="1"/>
  <c r="H7" i="52"/>
  <c r="H8" i="52"/>
  <c r="H9" i="52"/>
  <c r="H11" i="52"/>
  <c r="H13" i="52"/>
  <c r="H14" i="52"/>
  <c r="H15" i="52"/>
  <c r="H16" i="52"/>
  <c r="I13" i="55"/>
  <c r="I7" i="54"/>
  <c r="I14" i="54"/>
  <c r="I7" i="58"/>
  <c r="M38" i="1" l="1"/>
  <c r="L38" i="1" s="1"/>
  <c r="J38" i="1" s="1"/>
  <c r="K16" i="52"/>
  <c r="G16" i="52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K15" i="52"/>
  <c r="G15" i="52"/>
  <c r="F15" i="52"/>
  <c r="E15" i="52"/>
  <c r="K14" i="52"/>
  <c r="G14" i="52"/>
  <c r="F14" i="52"/>
  <c r="E14" i="52"/>
  <c r="K13" i="52"/>
  <c r="G13" i="52"/>
  <c r="F13" i="52"/>
  <c r="E13" i="52"/>
  <c r="K12" i="52"/>
  <c r="H12" i="52" s="1"/>
  <c r="G12" i="52"/>
  <c r="F12" i="52"/>
  <c r="E12" i="52"/>
  <c r="K11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I38" i="1" l="1"/>
  <c r="M19" i="1"/>
  <c r="M18" i="1"/>
  <c r="M17" i="1"/>
  <c r="G38" i="1"/>
  <c r="M16" i="1" s="1"/>
  <c r="H38" i="1"/>
  <c r="K10" i="58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H14" i="58" s="1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H15" i="56" s="1"/>
  <c r="D15" i="56" s="1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K10" i="52"/>
  <c r="H10" i="52" s="1"/>
  <c r="G10" i="52"/>
  <c r="F10" i="52"/>
  <c r="E10" i="52"/>
  <c r="K9" i="52"/>
  <c r="G9" i="52"/>
  <c r="F9" i="52"/>
  <c r="E9" i="52"/>
  <c r="K8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M15" i="1" l="1"/>
  <c r="M14" i="1"/>
  <c r="M7" i="1"/>
  <c r="M10" i="1"/>
  <c r="M8" i="1"/>
  <c r="M9" i="1"/>
  <c r="M11" i="1"/>
  <c r="M12" i="1"/>
  <c r="M4" i="1"/>
  <c r="M5" i="1"/>
  <c r="M13" i="1"/>
  <c r="M6" i="1"/>
  <c r="H15" i="58"/>
  <c r="D15" i="58" s="1"/>
  <c r="H13" i="56"/>
  <c r="H16" i="56"/>
  <c r="D16" i="56" s="1"/>
  <c r="H11" i="56"/>
  <c r="D11" i="56" s="1"/>
  <c r="H13" i="55"/>
  <c r="D13" i="55" s="1"/>
  <c r="H15" i="55"/>
  <c r="H13" i="58"/>
  <c r="H16" i="58"/>
  <c r="H11" i="58"/>
  <c r="D11" i="58" s="1"/>
  <c r="H12" i="58"/>
  <c r="D12" i="58" s="1"/>
  <c r="H14" i="56"/>
  <c r="D14" i="56" s="1"/>
  <c r="H12" i="56"/>
  <c r="D12" i="56" s="1"/>
  <c r="H12" i="55"/>
  <c r="D12" i="55" s="1"/>
  <c r="H14" i="55"/>
  <c r="D14" i="55" s="1"/>
  <c r="H16" i="55"/>
  <c r="H11" i="55"/>
  <c r="D11" i="55" s="1"/>
  <c r="D14" i="58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3" i="56" l="1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K7" i="52"/>
  <c r="G7" i="52"/>
  <c r="F7" i="52"/>
  <c r="E7" i="52"/>
  <c r="K7" i="54"/>
  <c r="G7" i="54"/>
  <c r="F7" i="54"/>
  <c r="E7" i="54"/>
  <c r="N27" i="1" l="1"/>
  <c r="M27" i="1" l="1"/>
  <c r="N26" i="1" s="1"/>
  <c r="K6" i="54"/>
  <c r="D3" i="54"/>
  <c r="N25" i="1" s="1"/>
  <c r="O26" i="1" l="1"/>
  <c r="Q26" i="1"/>
  <c r="P26" i="1"/>
  <c r="H16" i="54"/>
  <c r="D16" i="54"/>
  <c r="H13" i="54"/>
  <c r="H15" i="54"/>
  <c r="H14" i="54"/>
  <c r="D14" i="54" s="1"/>
  <c r="H11" i="54"/>
  <c r="H12" i="54"/>
  <c r="H9" i="54"/>
  <c r="H8" i="54"/>
  <c r="H10" i="54"/>
  <c r="H7" i="54"/>
  <c r="D7" i="54" s="1"/>
  <c r="I6" i="54"/>
  <c r="D15" i="54" l="1"/>
  <c r="D13" i="54"/>
  <c r="D12" i="54"/>
  <c r="D11" i="54"/>
  <c r="D10" i="54"/>
  <c r="D8" i="54"/>
  <c r="D9" i="54"/>
  <c r="K6" i="52"/>
  <c r="D11" i="52" l="1"/>
  <c r="D9" i="52"/>
  <c r="D8" i="52"/>
  <c r="I6" i="52"/>
  <c r="G5" i="52"/>
  <c r="F5" i="52"/>
  <c r="E5" i="52"/>
  <c r="D3" i="52"/>
  <c r="D12" i="52" l="1"/>
  <c r="D7" i="52" l="1"/>
  <c r="D10" i="52" l="1"/>
  <c r="D14" i="52" l="1"/>
  <c r="D16" i="52"/>
  <c r="D13" i="52"/>
  <c r="D15" i="52"/>
  <c r="Q28" i="1"/>
  <c r="I12" i="54"/>
  <c r="N33" i="1"/>
  <c r="I12" i="58"/>
  <c r="Q33" i="1" l="1"/>
  <c r="I16" i="55"/>
  <c r="O37" i="1"/>
  <c r="I8" i="56"/>
  <c r="P29" i="1"/>
  <c r="I15" i="58"/>
  <c r="Q36" i="1"/>
  <c r="I10" i="56"/>
  <c r="P31" i="1"/>
  <c r="I11" i="56"/>
  <c r="P32" i="1"/>
  <c r="O34" i="1"/>
  <c r="I12" i="56"/>
  <c r="P33" i="1"/>
  <c r="I13" i="58"/>
  <c r="Q34" i="1"/>
  <c r="I14" i="56"/>
  <c r="P35" i="1"/>
  <c r="I10" i="54"/>
  <c r="N31" i="1"/>
  <c r="I14" i="58"/>
  <c r="Q35" i="1" l="1"/>
  <c r="I9" i="54"/>
  <c r="N30" i="1"/>
  <c r="I14" i="55"/>
  <c r="O35" i="1" l="1"/>
  <c r="I15" i="56"/>
  <c r="P36" i="1"/>
  <c r="I8" i="54"/>
  <c r="N29" i="1"/>
  <c r="I7" i="55"/>
  <c r="O28" i="1" l="1"/>
  <c r="I16" i="54"/>
  <c r="N37" i="1"/>
  <c r="I13" i="54"/>
  <c r="N34" i="1" l="1"/>
  <c r="I16" i="58"/>
  <c r="Q37" i="1" l="1"/>
  <c r="I8" i="58"/>
  <c r="Q29" i="1"/>
  <c r="I9" i="58"/>
  <c r="Q30" i="1"/>
  <c r="I10" i="55"/>
  <c r="O31" i="1"/>
  <c r="I11" i="54"/>
  <c r="N32" i="1" l="1"/>
  <c r="I12" i="55"/>
  <c r="O33" i="1" l="1"/>
  <c r="M33" i="1" s="1"/>
  <c r="L33" i="1" s="1"/>
  <c r="I9" i="56"/>
  <c r="P30" i="1"/>
  <c r="I16" i="56"/>
  <c r="P37" i="1"/>
  <c r="M37" i="1" s="1"/>
  <c r="L37" i="1" s="1"/>
  <c r="I8" i="55"/>
  <c r="O29" i="1"/>
  <c r="M29" i="1" s="1"/>
  <c r="L29" i="1" s="1"/>
  <c r="I15" i="54"/>
  <c r="N36" i="1"/>
  <c r="I7" i="56"/>
  <c r="P28" i="1" l="1"/>
  <c r="I10" i="58"/>
  <c r="Q31" i="1"/>
  <c r="M31" i="1" s="1"/>
  <c r="L31" i="1" s="1"/>
  <c r="N28" i="1"/>
  <c r="M28" i="1" s="1"/>
  <c r="L28" i="1" s="1"/>
  <c r="I15" i="55"/>
  <c r="O36" i="1"/>
  <c r="M36" i="1" s="1"/>
  <c r="L36" i="1" s="1"/>
  <c r="I13" i="56"/>
  <c r="P34" i="1"/>
  <c r="M34" i="1" s="1"/>
  <c r="L34" i="1" s="1"/>
  <c r="I11" i="58"/>
  <c r="Q32" i="1"/>
  <c r="N35" i="1"/>
  <c r="M35" i="1" s="1"/>
  <c r="L35" i="1" s="1"/>
  <c r="I11" i="55"/>
  <c r="O32" i="1"/>
  <c r="M32" i="1" s="1"/>
  <c r="L32" i="1" s="1"/>
  <c r="I9" i="55"/>
  <c r="O30" i="1"/>
  <c r="M30" i="1" s="1"/>
  <c r="L30" i="1" s="1"/>
  <c r="I13" i="52"/>
  <c r="K34" i="1"/>
  <c r="I10" i="52"/>
  <c r="J34" i="1" l="1"/>
  <c r="I34" i="1" s="1"/>
  <c r="K31" i="1"/>
  <c r="I11" i="52"/>
  <c r="G34" i="1" l="1"/>
  <c r="H34" i="1"/>
  <c r="J31" i="1"/>
  <c r="I31" i="1" s="1"/>
  <c r="K32" i="1"/>
  <c r="I9" i="52"/>
  <c r="G31" i="1" l="1"/>
  <c r="H32" i="1"/>
  <c r="J32" i="1"/>
  <c r="I32" i="1" s="1"/>
  <c r="H31" i="1"/>
  <c r="K30" i="1"/>
  <c r="I12" i="52"/>
  <c r="G32" i="1" l="1"/>
  <c r="H30" i="1"/>
  <c r="J30" i="1"/>
  <c r="I30" i="1" s="1"/>
  <c r="K33" i="1"/>
  <c r="I14" i="52"/>
  <c r="J33" i="1" l="1"/>
  <c r="I33" i="1" s="1"/>
  <c r="G33" i="1"/>
  <c r="G30" i="1"/>
  <c r="K35" i="1"/>
  <c r="I15" i="52"/>
  <c r="J35" i="1" l="1"/>
  <c r="I35" i="1" s="1"/>
  <c r="H35" i="1"/>
  <c r="H33" i="1"/>
  <c r="K36" i="1"/>
  <c r="I16" i="52"/>
  <c r="G36" i="1" l="1"/>
  <c r="J36" i="1"/>
  <c r="I36" i="1" s="1"/>
  <c r="G35" i="1"/>
  <c r="K37" i="1"/>
  <c r="I8" i="52"/>
  <c r="J37" i="1" l="1"/>
  <c r="I37" i="1" s="1"/>
  <c r="H37" i="1"/>
  <c r="H36" i="1"/>
  <c r="K29" i="1"/>
  <c r="I7" i="52"/>
  <c r="J29" i="1" l="1"/>
  <c r="I29" i="1" s="1"/>
  <c r="G37" i="1"/>
  <c r="K28" i="1"/>
  <c r="J28" i="1" l="1"/>
  <c r="H29" i="1"/>
  <c r="G29" i="1"/>
  <c r="I28" i="1" l="1"/>
  <c r="G28" i="1"/>
  <c r="H28" i="1"/>
</calcChain>
</file>

<file path=xl/sharedStrings.xml><?xml version="1.0" encoding="utf-8"?>
<sst xmlns="http://schemas.openxmlformats.org/spreadsheetml/2006/main" count="202" uniqueCount="106">
  <si>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</si>
  <si>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</si>
  <si>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</si>
  <si>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</si>
  <si>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</si>
  <si>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</si>
  <si>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</si>
  <si>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</si>
  <si>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</si>
  <si>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</si>
  <si>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</si>
  <si>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</si>
  <si>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</si>
  <si>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</si>
  <si>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</si>
  <si>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</si>
  <si>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</si>
  <si>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</si>
  <si>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</si>
  <si>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</si>
  <si>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</si>
  <si>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</si>
  <si>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</si>
  <si>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</si>
  <si>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</si>
  <si>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</si>
  <si>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</si>
  <si>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</si>
  <si>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</si>
  <si>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</si>
  <si>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</si>
  <si>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</si>
  <si>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</si>
  <si>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A-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</si>
  <si>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</si>
  <si>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</si>
  <si>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</si>
  <si>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</si>
  <si>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</si>
  <si>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</si>
  <si>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</si>
  <si>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</si>
  <si>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</si>
  <si>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</si>
  <si>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</si>
  <si>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</si>
  <si>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</si>
  <si>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</si>
  <si>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</si>
  <si>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</si>
  <si>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</si>
  <si>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</si>
  <si>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</si>
  <si>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</si>
  <si>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</si>
  <si>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</si>
  <si>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</si>
  <si>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</si>
  <si>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</si>
  <si>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</si>
  <si>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</si>
  <si>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</si>
  <si>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</si>
  <si>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</si>
  <si>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</si>
  <si>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</si>
  <si>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</si>
  <si>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</si>
  <si>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</si>
  <si>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</si>
  <si>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</si>
  <si>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</si>
  <si>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</si>
  <si>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</si>
  <si>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</si>
  <si>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</si>
  <si>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</si>
  <si>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Press this button if the program no longer registers your number of tests and students inputs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</si>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</sst>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32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8" fillId="0" borderId="1" xfId="1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23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</dxfs>
  <tableStyles count="0" defaultTableStyle="TableStyleMedium2" defaultPivotStyle="PivotStyleMedium9"/>
  <colors>
    <mruColors>
      <color rgb="FFF7D470"/>
      <color rgb="FFF36B4B"/>
      <color rgb="FFFF6600"/>
      <color rgb="FFABF34B"/>
      <color rgb="FFABF346"/>
      <color rgb="FFABF32B"/>
      <color rgb="FFABF37E"/>
      <color rgb="FFA4DC7E"/>
      <color rgb="FF09AB4B"/>
      <color rgb="FFF3A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</xdr:row>
          <xdr:rowOff>95250</xdr:rowOff>
        </xdr:from>
        <xdr:to>
          <xdr:col>20</xdr:col>
          <xdr:colOff>361950</xdr:colOff>
          <xdr:row>5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X38"/>
  <sheetViews>
    <sheetView tabSelected="1" zoomScaleNormal="100" workbookViewId="0">
      <selection activeCell="F39" sqref="F39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28515625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24" x14ac:dyDescent="0.25">
      <c r="C1" s="33"/>
    </row>
    <row r="2" spans="3:24" ht="15.75" thickBot="1" x14ac:dyDescent="0.3"/>
    <row r="3" spans="3:24" ht="15.75" thickBot="1" x14ac:dyDescent="0.3">
      <c r="C3" s="38" t="s">
        <v>15</v>
      </c>
      <c r="D3" s="66"/>
      <c r="F3" s="116" t="s">
        <v>68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  <c r="V3" s="101" t="s">
        <v>77</v>
      </c>
      <c r="W3" s="102"/>
      <c r="X3" s="103"/>
    </row>
    <row r="4" spans="3:24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31</v>
      </c>
      <c r="M4" s="59">
        <f>COUNTIF(I$28:I$38, "="&amp;L4)</f>
        <v>1</v>
      </c>
      <c r="V4" s="104"/>
      <c r="W4" s="105"/>
      <c r="X4" s="106"/>
    </row>
    <row r="5" spans="3:24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33</v>
      </c>
      <c r="M5" s="59">
        <f t="shared" ref="M5:M13" si="0">COUNTIF(I$28:I$38, "="&amp;L5)</f>
        <v>0</v>
      </c>
      <c r="V5" s="104"/>
      <c r="W5" s="105"/>
      <c r="X5" s="106"/>
    </row>
    <row r="6" spans="3:24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34</v>
      </c>
      <c r="M6" s="59">
        <f t="shared" si="0"/>
        <v>1</v>
      </c>
      <c r="V6" s="107"/>
      <c r="W6" s="108"/>
      <c r="X6" s="109"/>
    </row>
    <row r="7" spans="3:24" ht="15.75" thickBot="1" x14ac:dyDescent="0.3">
      <c r="C7" s="40" t="s">
        <v>52</v>
      </c>
      <c r="D7" s="90">
        <v>11</v>
      </c>
      <c r="F7" s="113" t="s">
        <v>66</v>
      </c>
      <c r="G7" s="114"/>
      <c r="H7" s="114"/>
      <c r="I7" s="115"/>
      <c r="J7" s="35"/>
      <c r="K7" s="55" t="s">
        <v>19</v>
      </c>
      <c r="L7" s="49" t="s">
        <v>51</v>
      </c>
      <c r="M7" s="59">
        <f t="shared" si="0"/>
        <v>2</v>
      </c>
    </row>
    <row r="8" spans="3:24" ht="15.75" thickBot="1" x14ac:dyDescent="0.3">
      <c r="C8" s="44" t="s">
        <v>53</v>
      </c>
      <c r="D8" s="91">
        <v>4</v>
      </c>
      <c r="F8" s="110" t="s">
        <v>67</v>
      </c>
      <c r="G8" s="111"/>
      <c r="H8" s="111"/>
      <c r="I8" s="112"/>
      <c r="J8" s="35"/>
      <c r="K8" s="55" t="s">
        <v>20</v>
      </c>
      <c r="L8" s="49" t="s">
        <v>38</v>
      </c>
      <c r="M8" s="59">
        <f t="shared" si="0"/>
        <v>2</v>
      </c>
    </row>
    <row r="9" spans="3:24" ht="15.75" thickBot="1" x14ac:dyDescent="0.3">
      <c r="J9" s="35"/>
      <c r="K9" s="56" t="s">
        <v>21</v>
      </c>
      <c r="L9" s="50" t="s">
        <v>35</v>
      </c>
      <c r="M9" s="59">
        <f t="shared" si="0"/>
        <v>2</v>
      </c>
    </row>
    <row r="10" spans="3:24" x14ac:dyDescent="0.25">
      <c r="C10" s="38" t="s">
        <v>49</v>
      </c>
      <c r="D10" s="39">
        <v>0.5</v>
      </c>
      <c r="F10" s="122" t="s">
        <v>69</v>
      </c>
      <c r="G10" s="123"/>
      <c r="H10" s="123"/>
      <c r="I10" s="124"/>
      <c r="J10" s="35"/>
      <c r="K10" s="56" t="s">
        <v>22</v>
      </c>
      <c r="L10" s="50" t="s">
        <v>32</v>
      </c>
      <c r="M10" s="59">
        <f t="shared" si="0"/>
        <v>1</v>
      </c>
    </row>
    <row r="11" spans="3:24" x14ac:dyDescent="0.25">
      <c r="C11" s="42" t="s">
        <v>47</v>
      </c>
      <c r="D11" s="43">
        <v>0.4</v>
      </c>
      <c r="F11" s="113" t="s">
        <v>70</v>
      </c>
      <c r="G11" s="114"/>
      <c r="H11" s="114"/>
      <c r="I11" s="115"/>
      <c r="J11" s="35"/>
      <c r="K11" s="56" t="s">
        <v>23</v>
      </c>
      <c r="L11" s="50" t="s">
        <v>36</v>
      </c>
      <c r="M11" s="59">
        <f t="shared" si="0"/>
        <v>1</v>
      </c>
    </row>
    <row r="12" spans="3:24" x14ac:dyDescent="0.25">
      <c r="C12" s="40" t="s">
        <v>44</v>
      </c>
      <c r="D12" s="41">
        <v>0.5</v>
      </c>
      <c r="F12" s="113" t="s">
        <v>72</v>
      </c>
      <c r="G12" s="114"/>
      <c r="H12" s="114"/>
      <c r="I12" s="115"/>
      <c r="J12" s="35"/>
      <c r="K12" s="57" t="s">
        <v>30</v>
      </c>
      <c r="L12" s="51" t="s">
        <v>37</v>
      </c>
      <c r="M12" s="59">
        <f t="shared" si="0"/>
        <v>0</v>
      </c>
    </row>
    <row r="13" spans="3:24" ht="15.75" thickBot="1" x14ac:dyDescent="0.3">
      <c r="C13" s="44" t="s">
        <v>48</v>
      </c>
      <c r="D13" s="45">
        <v>0.4</v>
      </c>
      <c r="F13" s="110" t="s">
        <v>71</v>
      </c>
      <c r="G13" s="111"/>
      <c r="H13" s="111"/>
      <c r="I13" s="112"/>
      <c r="J13" s="35"/>
      <c r="K13" s="58" t="s">
        <v>29</v>
      </c>
      <c r="L13" s="52" t="s">
        <v>39</v>
      </c>
      <c r="M13" s="59">
        <f t="shared" si="0"/>
        <v>1</v>
      </c>
    </row>
    <row r="14" spans="3:24" x14ac:dyDescent="0.25">
      <c r="J14" s="35"/>
      <c r="K14" s="127" t="s">
        <v>28</v>
      </c>
      <c r="L14" s="128"/>
      <c r="M14" s="60">
        <f>COUNTIF(H28:H38, "=FAIL")</f>
        <v>3</v>
      </c>
    </row>
    <row r="15" spans="3:24" x14ac:dyDescent="0.25">
      <c r="J15" s="35"/>
      <c r="K15" s="129" t="s">
        <v>27</v>
      </c>
      <c r="L15" s="130"/>
      <c r="M15" s="59">
        <f>COUNTIF(H28:H38, "=PASS")</f>
        <v>8</v>
      </c>
    </row>
    <row r="16" spans="3:24" x14ac:dyDescent="0.25">
      <c r="J16" s="35"/>
      <c r="K16" s="129" t="s">
        <v>40</v>
      </c>
      <c r="L16" s="130"/>
      <c r="M16" s="59">
        <f>COUNTIF(G28:G38, "=WRITE SUPP")</f>
        <v>2</v>
      </c>
    </row>
    <row r="17" spans="3:18" x14ac:dyDescent="0.25">
      <c r="J17" s="35"/>
      <c r="K17" s="129" t="s">
        <v>41</v>
      </c>
      <c r="L17" s="130"/>
      <c r="M17" s="61">
        <f>MAX(J28:J38)-MIN(J28:J38)</f>
        <v>0.48981818181818176</v>
      </c>
    </row>
    <row r="18" spans="3:18" x14ac:dyDescent="0.25">
      <c r="J18" s="35"/>
      <c r="K18" s="129" t="s">
        <v>42</v>
      </c>
      <c r="L18" s="130"/>
      <c r="M18" s="61">
        <f>AVERAGE(J28:J38)</f>
        <v>0.62047933884297513</v>
      </c>
    </row>
    <row r="19" spans="3:18" ht="15.75" thickBot="1" x14ac:dyDescent="0.3">
      <c r="J19" s="35"/>
      <c r="K19" s="125" t="s">
        <v>43</v>
      </c>
      <c r="L19" s="126"/>
      <c r="M19" s="62">
        <f>STDEV(J28:J38)</f>
        <v>0.13020848565681076</v>
      </c>
    </row>
    <row r="24" spans="3:18" ht="15.75" thickBot="1" x14ac:dyDescent="0.3"/>
    <row r="25" spans="3:18" ht="15.75" thickBot="1" x14ac:dyDescent="0.3">
      <c r="D25" s="63" t="s">
        <v>3</v>
      </c>
      <c r="E25" s="64" t="s">
        <v>1</v>
      </c>
      <c r="F25" s="64" t="s">
        <v>2</v>
      </c>
      <c r="G25" s="64" t="s">
        <v>46</v>
      </c>
      <c r="H25" s="64" t="s">
        <v>45</v>
      </c>
      <c r="I25" s="64" t="s">
        <v>25</v>
      </c>
      <c r="J25" s="70" t="s">
        <v>9</v>
      </c>
      <c r="K25" s="64" t="s">
        <v>4</v>
      </c>
      <c r="L25" s="64" t="s">
        <v>55</v>
      </c>
      <c r="M25" s="98" t="s">
        <v>50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36"/>
    </row>
    <row r="26" spans="3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  <c r="R26" s="36"/>
    </row>
    <row r="27" spans="3:18" ht="15.75" thickBot="1" x14ac:dyDescent="0.3">
      <c r="C27" s="29" t="s">
        <v>54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7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6"/>
    </row>
    <row r="28" spans="3:18" x14ac:dyDescent="0.25">
      <c r="D28" s="73" t="s">
        <v>78</v>
      </c>
      <c r="E28" s="96" t="s">
        <v>91</v>
      </c>
      <c r="F28" s="88" t="s">
        <v>80</v>
      </c>
      <c r="G28" s="74" t="str">
        <f>IF(AND(K28&gt;=D$13, J28&gt;=D$11), IF(OR(K28&lt;D$12, J28&lt;D$10), "WRITE SUPP", "NO SUPP"), "NO SUPP")</f>
        <v>NO SUPP</v>
      </c>
      <c r="H28" s="74" t="str">
        <f>IF(K28&gt;=D$12, IF(J28&gt;=D$10, "PASS", "FAIL"), "FAIL")</f>
        <v>PASS</v>
      </c>
      <c r="I28" s="74" t="str">
        <f>IF(J28&gt;=0.8, L$4, IF(J28&gt;=0.75, L$5, IF(J28&gt;=0.7, L$6, IF(J28&gt;=0.65, L$7, IF(J28&gt;=0.6, L$8, IF(J28&gt;=0.55, L$9, IF(J28&gt;=0.5, L$10, IF(J28&gt;=0.45, L$11, IF(J28&gt;=0.4, L$12, L$13)))))))))</f>
        <v>B</v>
      </c>
      <c r="J28" s="89">
        <f t="shared" ref="J28:J37" si="3">IFERROR(K$26*K28+L$26*L28, L$26*L28)</f>
        <v>0.69090909090909092</v>
      </c>
      <c r="K28" s="89">
        <f>IF(ISNUMBER(FIND("MISSING MARK", Exam!I7)), Exam!I7, IF(ISNUMBER(FIND("INVALID MARK", Exam!I7)), Exam!I7, Exam!H7))</f>
        <v>0.72499999999999998</v>
      </c>
      <c r="L28" s="89">
        <f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3:18" x14ac:dyDescent="0.25">
      <c r="D29" s="73" t="s">
        <v>81</v>
      </c>
      <c r="E29" s="96" t="s">
        <v>79</v>
      </c>
      <c r="F29" s="88" t="s">
        <v>83</v>
      </c>
      <c r="G29" s="74" t="str">
        <f t="shared" ref="G29:G31" si="4">IF(AND(K29&gt;=D$13, J29&gt;=D$11), IF(OR(K29&lt;D$12, J29&lt;D$10), "WRITE SUPP", "NO SUPP"), "NO SUPP")</f>
        <v>NO SUPP</v>
      </c>
      <c r="H29" s="74" t="str">
        <f t="shared" ref="H29:H31" si="5">IF(K29&gt;=D$12, IF(J29&gt;=D$10, "PASS", "FAIL"), "FAIL")</f>
        <v>PASS</v>
      </c>
      <c r="I29" s="74" t="str">
        <f t="shared" ref="I29:I31" si="6">IF(J29&gt;=0.8, L$4, IF(J29&gt;=0.75, L$5, IF(J29&gt;=0.7, L$6, IF(J29&gt;=0.65, L$7, IF(J29&gt;=0.6, L$8, IF(J29&gt;=0.55, L$9, IF(J29&gt;=0.5, L$10, IF(J29&gt;=0.45, L$11, IF(J29&gt;=0.4, L$12, L$13)))))))))</f>
        <v>A</v>
      </c>
      <c r="J29" s="89">
        <f t="shared" si="3"/>
        <v>0.88527272727272721</v>
      </c>
      <c r="K29" s="89">
        <f>IF(ISNUMBER(FIND("MISSING MARK", Exam!I8)), Exam!I8, IF(ISNUMBER(FIND("INVALID MARK", Exam!I8)), Exam!I8, Exam!H8))</f>
        <v>0.87</v>
      </c>
      <c r="L29" s="89">
        <f t="shared" ref="L29:L31" si="7">M29/M$27</f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3:18" x14ac:dyDescent="0.25">
      <c r="D30" s="73" t="s">
        <v>82</v>
      </c>
      <c r="E30" s="73" t="s">
        <v>86</v>
      </c>
      <c r="F30" s="88" t="s">
        <v>84</v>
      </c>
      <c r="G30" s="74" t="str">
        <f t="shared" si="4"/>
        <v>NO SUPP</v>
      </c>
      <c r="H30" s="74" t="str">
        <f t="shared" si="5"/>
        <v>FAIL</v>
      </c>
      <c r="I30" s="74" t="str">
        <f t="shared" si="6"/>
        <v>F</v>
      </c>
      <c r="J30" s="89">
        <f t="shared" si="3"/>
        <v>0.39545454545454545</v>
      </c>
      <c r="K30" s="89">
        <f>IF(ISNUMBER(FIND("MISSING MARK", Exam!I9)), Exam!I9, IF(ISNUMBER(FIND("INVALID MARK", Exam!I9)), Exam!I9, Exam!H9))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3:18" x14ac:dyDescent="0.25">
      <c r="D31" s="73" t="s">
        <v>87</v>
      </c>
      <c r="E31" s="73" t="s">
        <v>88</v>
      </c>
      <c r="F31" s="88" t="s">
        <v>85</v>
      </c>
      <c r="G31" s="74" t="str">
        <f t="shared" si="4"/>
        <v>NO SUPP</v>
      </c>
      <c r="H31" s="74" t="str">
        <f t="shared" si="5"/>
        <v>PASS</v>
      </c>
      <c r="I31" s="74" t="str">
        <f t="shared" si="6"/>
        <v>C</v>
      </c>
      <c r="J31" s="89">
        <f>IFERROR(K$26*K31+L$26*L31, L$26*L31)</f>
        <v>0.54745454545454542</v>
      </c>
      <c r="K31" s="89">
        <f>IF(ISNUMBER(FIND("MISSING MARK", Exam!I10)), Exam!I10, IF(ISNUMBER(FIND("INVALID MARK", Exam!I10)), Exam!I10, Exam!H10))</f>
        <v>0.53</v>
      </c>
      <c r="L31" s="89">
        <f t="shared" si="7"/>
        <v>0.55909090909090908</v>
      </c>
      <c r="M31" s="74">
        <f t="shared" si="2"/>
        <v>61.5</v>
      </c>
      <c r="N31" s="75">
        <f>'Test 1'!I10</f>
        <v>5</v>
      </c>
      <c r="O31" s="75">
        <f>'Test 2'!I10</f>
        <v>15.499999999999998</v>
      </c>
      <c r="P31" s="75">
        <f>'Oral Assignment 1'!I10</f>
        <v>11</v>
      </c>
      <c r="Q31" s="75">
        <f>'Test 4'!I10</f>
        <v>30</v>
      </c>
    </row>
    <row r="32" spans="3:18" x14ac:dyDescent="0.25">
      <c r="D32" s="73" t="s">
        <v>90</v>
      </c>
      <c r="E32" s="73" t="s">
        <v>89</v>
      </c>
      <c r="F32" s="88" t="s">
        <v>92</v>
      </c>
      <c r="G32" s="74" t="str">
        <f t="shared" ref="G32:G36" si="8">IF(AND(K32&gt;=D$13, J32&gt;=D$11), IF(OR(K32&lt;D$12, J32&lt;D$10), "WRITE SUPP", "NO SUPP"), "NO SUPP")</f>
        <v>WRITE SUPP</v>
      </c>
      <c r="H32" s="74" t="str">
        <f t="shared" ref="H32:H36" si="9">IF(K32&gt;=D$12, IF(J32&gt;=D$10, "PASS", "FAIL"), "FAIL")</f>
        <v>FAIL</v>
      </c>
      <c r="I32" s="74" t="str">
        <f t="shared" ref="I32:I36" si="10">IF(J32&gt;=0.8, L$4, IF(J32&gt;=0.75, L$5, IF(J32&gt;=0.7, L$6, IF(J32&gt;=0.65, L$7, IF(J32&gt;=0.6, L$8, IF(J32&gt;=0.55, L$9, IF(J32&gt;=0.5, L$10, IF(J32&gt;=0.45, L$11, IF(J32&gt;=0.4, L$12, L$13)))))))))</f>
        <v>C+</v>
      </c>
      <c r="J32" s="89">
        <f t="shared" si="3"/>
        <v>0.58127272727272727</v>
      </c>
      <c r="K32" s="89">
        <f>IF(ISNUMBER(FIND("MISSING MARK", Exam!I11)), Exam!I11, IF(ISNUMBER(FIND("INVALID MARK", Exam!I11)), Exam!I11, Exam!H11))</f>
        <v>0.41</v>
      </c>
      <c r="L32" s="89">
        <f t="shared" ref="L32:L36" si="11">M32/M$27</f>
        <v>0.69545454545454544</v>
      </c>
      <c r="M32" s="74">
        <f t="shared" si="2"/>
        <v>76.5</v>
      </c>
      <c r="N32" s="75">
        <f>'Test 1'!I11</f>
        <v>6</v>
      </c>
      <c r="O32" s="75">
        <f>'Test 2'!I11</f>
        <v>16.499999999999996</v>
      </c>
      <c r="P32" s="75">
        <f>'Oral Assignment 1'!I11</f>
        <v>19</v>
      </c>
      <c r="Q32" s="75">
        <f>'Test 4'!I11</f>
        <v>35</v>
      </c>
    </row>
    <row r="33" spans="4:17" x14ac:dyDescent="0.25">
      <c r="D33" s="73" t="s">
        <v>94</v>
      </c>
      <c r="E33" s="73" t="s">
        <v>93</v>
      </c>
      <c r="F33" s="88" t="s">
        <v>95</v>
      </c>
      <c r="G33" s="74" t="str">
        <f t="shared" si="8"/>
        <v>WRITE SUPP</v>
      </c>
      <c r="H33" s="74" t="str">
        <f t="shared" si="9"/>
        <v>FAIL</v>
      </c>
      <c r="I33" s="74" t="str">
        <f t="shared" si="10"/>
        <v>C-</v>
      </c>
      <c r="J33" s="89">
        <f t="shared" si="3"/>
        <v>0.48363636363636364</v>
      </c>
      <c r="K33" s="89">
        <f>IF(ISNUMBER(FIND("MISSING MARK", Exam!I12)), Exam!I12, IF(ISNUMBER(FIND("INVALID MARK", Exam!I12)), Exam!I12, Exam!H12))</f>
        <v>0.65</v>
      </c>
      <c r="L33" s="89">
        <f t="shared" si="11"/>
        <v>0.37272727272727274</v>
      </c>
      <c r="M33" s="74">
        <f t="shared" si="2"/>
        <v>41</v>
      </c>
      <c r="N33" s="75">
        <f>'Test 1'!I12</f>
        <v>3.5000000000000004</v>
      </c>
      <c r="O33" s="75">
        <f>'Test 2'!I12</f>
        <v>9.5</v>
      </c>
      <c r="P33" s="75">
        <f>'Oral Assignment 1'!I12</f>
        <v>11</v>
      </c>
      <c r="Q33" s="75">
        <f>'Test 4'!I12</f>
        <v>17</v>
      </c>
    </row>
    <row r="34" spans="4:17" x14ac:dyDescent="0.25">
      <c r="D34" s="73" t="s">
        <v>97</v>
      </c>
      <c r="E34" s="73" t="s">
        <v>96</v>
      </c>
      <c r="F34" s="88" t="s">
        <v>99</v>
      </c>
      <c r="G34" s="74" t="str">
        <f t="shared" si="8"/>
        <v>NO SUPP</v>
      </c>
      <c r="H34" s="74" t="str">
        <f t="shared" si="9"/>
        <v>PASS</v>
      </c>
      <c r="I34" s="74" t="str">
        <f t="shared" si="10"/>
        <v>C+</v>
      </c>
      <c r="J34" s="89">
        <f t="shared" si="3"/>
        <v>0.58654545454545448</v>
      </c>
      <c r="K34" s="89">
        <f>IF(ISNUMBER(FIND("MISSING MARK", Exam!I13)), Exam!I13, IF(ISNUMBER(FIND("INVALID MARK", Exam!I13)), Exam!I13, Exam!H13))</f>
        <v>0.57999999999999996</v>
      </c>
      <c r="L34" s="89">
        <f t="shared" si="11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MARK</v>
      </c>
      <c r="P34" s="75">
        <f>'Oral Assignment 1'!I13</f>
        <v>12</v>
      </c>
      <c r="Q34" s="75">
        <f>'Test 4'!I13</f>
        <v>47</v>
      </c>
    </row>
    <row r="35" spans="4:17" x14ac:dyDescent="0.25">
      <c r="D35" s="73" t="s">
        <v>97</v>
      </c>
      <c r="E35" s="73" t="s">
        <v>101</v>
      </c>
      <c r="F35" s="88" t="s">
        <v>100</v>
      </c>
      <c r="G35" s="74" t="str">
        <f t="shared" si="8"/>
        <v>NO SUPP</v>
      </c>
      <c r="H35" s="74" t="str">
        <f t="shared" si="9"/>
        <v>PASS</v>
      </c>
      <c r="I35" s="74" t="str">
        <f t="shared" si="10"/>
        <v>B-</v>
      </c>
      <c r="J35" s="89">
        <f t="shared" si="3"/>
        <v>0.60872727272727267</v>
      </c>
      <c r="K35" s="89">
        <f>IF(ISNUMBER(FIND("MISSING MARK", Exam!I14)), Exam!I14, IF(ISNUMBER(FIND("INVALID MARK", Exam!I14)), Exam!I14, Exam!H14))</f>
        <v>0.69</v>
      </c>
      <c r="L35" s="89">
        <f t="shared" si="11"/>
        <v>0.55454545454545456</v>
      </c>
      <c r="M35" s="74">
        <f t="shared" si="2"/>
        <v>61</v>
      </c>
      <c r="N35" s="75" t="str">
        <f>'Test 1'!I14</f>
        <v>INVALID MARK</v>
      </c>
      <c r="O35" s="75">
        <f>'Test 2'!I14</f>
        <v>17</v>
      </c>
      <c r="P35" s="75">
        <f>'Oral Assignment 1'!I14</f>
        <v>13</v>
      </c>
      <c r="Q35" s="75">
        <f>'Test 4'!I14</f>
        <v>31</v>
      </c>
    </row>
    <row r="36" spans="4:17" x14ac:dyDescent="0.25">
      <c r="D36" s="73" t="s">
        <v>97</v>
      </c>
      <c r="E36" s="73" t="s">
        <v>98</v>
      </c>
      <c r="F36" s="88" t="s">
        <v>102</v>
      </c>
      <c r="G36" s="74" t="str">
        <f t="shared" si="8"/>
        <v>NO SUPP</v>
      </c>
      <c r="H36" s="74" t="str">
        <f t="shared" si="9"/>
        <v>PASS</v>
      </c>
      <c r="I36" s="74" t="str">
        <f t="shared" si="10"/>
        <v>B</v>
      </c>
      <c r="J36" s="89">
        <f t="shared" si="3"/>
        <v>0.68472727272727274</v>
      </c>
      <c r="K36" s="89">
        <f>IF(ISNUMBER(FIND("MISSING MARK", Exam!I15)), Exam!I15, IF(ISNUMBER(FIND("INVALID MARK", Exam!I15)), Exam!I15, Exam!H15))</f>
        <v>0.80500000000000005</v>
      </c>
      <c r="L36" s="89">
        <f t="shared" si="11"/>
        <v>0.6045454545454545</v>
      </c>
      <c r="M36" s="74">
        <f t="shared" si="2"/>
        <v>66.5</v>
      </c>
      <c r="N36" s="75">
        <f>'Test 1'!I15</f>
        <v>9</v>
      </c>
      <c r="O36" s="75">
        <f>'Test 2'!I15</f>
        <v>12.5</v>
      </c>
      <c r="P36" s="75" t="str">
        <f>'Oral Assignment 1'!I15</f>
        <v>MISSING MARK</v>
      </c>
      <c r="Q36" s="75">
        <f>'Test 4'!I15</f>
        <v>45</v>
      </c>
    </row>
    <row r="37" spans="4:17" x14ac:dyDescent="0.25">
      <c r="D37" s="73" t="s">
        <v>2</v>
      </c>
      <c r="E37" s="73" t="s">
        <v>98</v>
      </c>
      <c r="F37" s="88"/>
      <c r="G37" s="74" t="str">
        <f t="shared" ref="G37" si="12">IF(AND(K37&gt;=D$13, J37&gt;=D$11), IF(OR(K37&lt;D$12, J37&lt;D$10), "WRITE SUPP", "NO SUPP"), "NO SUPP")</f>
        <v>NO SUPP</v>
      </c>
      <c r="H37" s="74" t="str">
        <f t="shared" ref="H37" si="13">IF(K37&gt;=D$12, IF(J37&gt;=D$10, "PASS", "FAIL"), "FAIL")</f>
        <v>PASS</v>
      </c>
      <c r="I37" s="74" t="str">
        <f t="shared" ref="I37" si="14">IF(J37&gt;=0.8, L$4, IF(J37&gt;=0.75, L$5, IF(J37&gt;=0.7, L$6, IF(J37&gt;=0.65, L$7, IF(J37&gt;=0.6, L$8, IF(J37&gt;=0.55, L$9, IF(J37&gt;=0.5, L$10, IF(J37&gt;=0.45, L$11, IF(J37&gt;=0.4, L$12, L$13)))))))))</f>
        <v>B+</v>
      </c>
      <c r="J37" s="89">
        <f t="shared" si="3"/>
        <v>0.73345454545454558</v>
      </c>
      <c r="K37" s="89">
        <f>IF(ISNUMBER(FIND("MISSING MARK", Exam!I16)), Exam!I16, IF(ISNUMBER(FIND("INVALID MARK", Exam!I16)), Exam!I16, Exam!H16))</f>
        <v>0.77</v>
      </c>
      <c r="L37" s="89">
        <f t="shared" ref="L37" si="15">M37/M$27</f>
        <v>0.70909090909090911</v>
      </c>
      <c r="M37" s="74">
        <f t="shared" si="2"/>
        <v>78</v>
      </c>
      <c r="N37" s="75">
        <f>'Test 1'!I16</f>
        <v>10</v>
      </c>
      <c r="O37" s="75">
        <f>'Test 2'!I16</f>
        <v>19.499999999999996</v>
      </c>
      <c r="P37" s="75">
        <f>'Oral Assignment 1'!I16</f>
        <v>12.5</v>
      </c>
      <c r="Q37" s="75">
        <f>'Test 4'!I16</f>
        <v>36</v>
      </c>
    </row>
    <row r="38" spans="4:17" x14ac:dyDescent="0.25">
      <c r="D38" s="73" t="s">
        <v>104</v>
      </c>
      <c r="E38" s="73" t="s">
        <v>103</v>
      </c>
      <c r="F38" s="88" t="s">
        <v>105</v>
      </c>
      <c r="G38" s="74" t="str">
        <f t="shared" ref="G38" si="16">IF(AND(K38&gt;=D$13, J38&gt;=D$11), IF(OR(K38&lt;D$12, J38&lt;D$10), "WRITE SUPP", "NO SUPP"), "NO SUPP")</f>
        <v>NO SUPP</v>
      </c>
      <c r="H38" s="74" t="str">
        <f t="shared" ref="H38" si="17">IF(K38&gt;=D$12, IF(J38&gt;=D$10, "PASS", "FAIL"), "FAIL")</f>
        <v>PASS</v>
      </c>
      <c r="I38" s="74" t="str">
        <f t="shared" ref="I38" si="18">IF(J38&gt;=0.8, L$4, IF(J38&gt;=0.75, L$5, IF(J38&gt;=0.7, L$6, IF(J38&gt;=0.65, L$7, IF(J38&gt;=0.6, L$8, IF(J38&gt;=0.55, L$9, IF(J38&gt;=0.5, L$10, IF(J38&gt;=0.45, L$11, IF(J38&gt;=0.4, L$12, L$13)))))))))</f>
        <v>B-</v>
      </c>
      <c r="J38" s="89">
        <f t="shared" ref="J38" si="19">IFERROR(K$26*K38+L$26*L38, L$26*L38)</f>
        <v>0.62781818181818172</v>
      </c>
      <c r="K38" s="89">
        <f>IF(ISNUMBER(FIND("MISSING MARK", Exam!I17)), Exam!I17, IF(ISNUMBER(FIND("INVALID MARK", Exam!I17)), Exam!I17, Exam!H17))</f>
        <v>0.69</v>
      </c>
      <c r="L38" s="89">
        <f t="shared" ref="L38" si="20">M38/M$27</f>
        <v>0.58636363636363631</v>
      </c>
      <c r="M38" s="74">
        <f t="shared" ref="M38" si="21">SUM(N38:Q38)</f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4">
    <mergeCell ref="K19:L19"/>
    <mergeCell ref="K14:L14"/>
    <mergeCell ref="K15:L15"/>
    <mergeCell ref="K16:L16"/>
    <mergeCell ref="K17:L17"/>
    <mergeCell ref="K18:L18"/>
    <mergeCell ref="V3:X6"/>
    <mergeCell ref="F8:I8"/>
    <mergeCell ref="F7:I7"/>
    <mergeCell ref="F3:I6"/>
    <mergeCell ref="F13:I13"/>
    <mergeCell ref="F12:I12"/>
    <mergeCell ref="F11:I11"/>
    <mergeCell ref="F10:I10"/>
  </mergeCells>
  <conditionalFormatting sqref="I28">
    <cfRule type="containsText" dxfId="231" priority="3633" operator="containsText" text="A">
      <formula>NOT(ISERROR(SEARCH("A",I28)))</formula>
    </cfRule>
  </conditionalFormatting>
  <conditionalFormatting sqref="G28">
    <cfRule type="containsText" dxfId="230" priority="3632" operator="containsText" text="WRITE SUPP">
      <formula>NOT(ISERROR(SEARCH("WRITE SUPP",G28)))</formula>
    </cfRule>
  </conditionalFormatting>
  <conditionalFormatting sqref="K28:K37">
    <cfRule type="containsText" dxfId="229" priority="51" operator="containsText" text="MISSING MARK">
      <formula>NOT(ISERROR(SEARCH("MISSING MARK",K28)))</formula>
    </cfRule>
    <cfRule type="containsText" dxfId="228" priority="3628" operator="containsText" text="INVALID MARK">
      <formula>NOT(ISERROR(SEARCH("INVALID MARK",K28)))</formula>
    </cfRule>
    <cfRule type="cellIs" dxfId="227" priority="3635" operator="lessThan">
      <formula>$D$12</formula>
    </cfRule>
    <cfRule type="cellIs" priority="3636" operator="greaterThanOrEqual">
      <formula>$D$12</formula>
    </cfRule>
    <cfRule type="expression" dxfId="226" priority="3637">
      <formula>"&gt;=$D$10"</formula>
    </cfRule>
  </conditionalFormatting>
  <conditionalFormatting sqref="N28">
    <cfRule type="containsText" dxfId="225" priority="3629" operator="containsText" text="INVALID MARK">
      <formula>NOT(ISERROR(SEARCH("INVALID MARK",N28)))</formula>
    </cfRule>
    <cfRule type="containsText" dxfId="224" priority="3630" operator="containsText" text="INVALID ENTRY">
      <formula>NOT(ISERROR(SEARCH("INVALID ENTRY",N28)))</formula>
    </cfRule>
    <cfRule type="containsText" dxfId="223" priority="3631" operator="containsText" text="MISSING MARK">
      <formula>NOT(ISERROR(SEARCH("MISSING MARK",N28)))</formula>
    </cfRule>
  </conditionalFormatting>
  <conditionalFormatting sqref="H28">
    <cfRule type="containsText" dxfId="222" priority="3627" operator="containsText" text="FAIL">
      <formula>NOT(ISERROR(SEARCH("FAIL",H28)))</formula>
    </cfRule>
  </conditionalFormatting>
  <conditionalFormatting sqref="I28">
    <cfRule type="containsText" dxfId="221" priority="3383" operator="containsText" text="F">
      <formula>NOT(ISERROR(SEARCH("F",I28)))</formula>
    </cfRule>
    <cfRule type="containsText" dxfId="220" priority="3384" operator="containsText" text="D">
      <formula>NOT(ISERROR(SEARCH("D",I28)))</formula>
    </cfRule>
    <cfRule type="containsText" dxfId="219" priority="3385" operator="containsText" text="C">
      <formula>NOT(ISERROR(SEARCH("C",I28)))</formula>
    </cfRule>
    <cfRule type="containsText" dxfId="218" priority="3386" operator="containsText" text="B">
      <formula>NOT(ISERROR(SEARCH("B",I28)))</formula>
    </cfRule>
  </conditionalFormatting>
  <conditionalFormatting sqref="I29:I31">
    <cfRule type="containsText" dxfId="217" priority="192" operator="containsText" text="A">
      <formula>NOT(ISERROR(SEARCH("A",I29)))</formula>
    </cfRule>
  </conditionalFormatting>
  <conditionalFormatting sqref="G29:G31">
    <cfRule type="containsText" dxfId="216" priority="191" operator="containsText" text="WRITE SUPP">
      <formula>NOT(ISERROR(SEARCH("WRITE SUPP",G29)))</formula>
    </cfRule>
  </conditionalFormatting>
  <conditionalFormatting sqref="J28:J37">
    <cfRule type="cellIs" dxfId="215" priority="193" operator="lessThan">
      <formula>$D$10</formula>
    </cfRule>
  </conditionalFormatting>
  <conditionalFormatting sqref="N29:N31">
    <cfRule type="containsText" dxfId="214" priority="188" operator="containsText" text="INVALID MARK">
      <formula>NOT(ISERROR(SEARCH("INVALID MARK",N29)))</formula>
    </cfRule>
    <cfRule type="containsText" dxfId="213" priority="189" operator="containsText" text="INVALID ENTRY">
      <formula>NOT(ISERROR(SEARCH("INVALID ENTRY",N29)))</formula>
    </cfRule>
    <cfRule type="containsText" dxfId="212" priority="190" operator="containsText" text="MISSING MARK">
      <formula>NOT(ISERROR(SEARCH("MISSING MARK",N29)))</formula>
    </cfRule>
  </conditionalFormatting>
  <conditionalFormatting sqref="H29:H31">
    <cfRule type="containsText" dxfId="211" priority="186" operator="containsText" text="FAIL">
      <formula>NOT(ISERROR(SEARCH("FAIL",H29)))</formula>
    </cfRule>
  </conditionalFormatting>
  <conditionalFormatting sqref="I29:I31">
    <cfRule type="containsText" dxfId="210" priority="182" operator="containsText" text="F">
      <formula>NOT(ISERROR(SEARCH("F",I29)))</formula>
    </cfRule>
    <cfRule type="containsText" dxfId="209" priority="183" operator="containsText" text="D">
      <formula>NOT(ISERROR(SEARCH("D",I29)))</formula>
    </cfRule>
    <cfRule type="containsText" dxfId="208" priority="184" operator="containsText" text="C">
      <formula>NOT(ISERROR(SEARCH("C",I29)))</formula>
    </cfRule>
    <cfRule type="containsText" dxfId="207" priority="185" operator="containsText" text="B">
      <formula>NOT(ISERROR(SEARCH("B",I29)))</formula>
    </cfRule>
  </conditionalFormatting>
  <conditionalFormatting sqref="O28">
    <cfRule type="containsText" dxfId="206" priority="179" operator="containsText" text="INVALID MARK">
      <formula>NOT(ISERROR(SEARCH("INVALID MARK",O28)))</formula>
    </cfRule>
    <cfRule type="containsText" dxfId="205" priority="180" operator="containsText" text="INVALID ENTRY">
      <formula>NOT(ISERROR(SEARCH("INVALID ENTRY",O28)))</formula>
    </cfRule>
    <cfRule type="containsText" dxfId="204" priority="181" operator="containsText" text="MISSING MARK">
      <formula>NOT(ISERROR(SEARCH("MISSING MARK",O28)))</formula>
    </cfRule>
  </conditionalFormatting>
  <conditionalFormatting sqref="O29:O31">
    <cfRule type="containsText" dxfId="203" priority="176" operator="containsText" text="INVALID MARK">
      <formula>NOT(ISERROR(SEARCH("INVALID MARK",O29)))</formula>
    </cfRule>
    <cfRule type="containsText" dxfId="202" priority="177" operator="containsText" text="INVALID ENTRY">
      <formula>NOT(ISERROR(SEARCH("INVALID ENTRY",O29)))</formula>
    </cfRule>
    <cfRule type="containsText" dxfId="201" priority="178" operator="containsText" text="MISSING MARK">
      <formula>NOT(ISERROR(SEARCH("MISSING MARK",O29)))</formula>
    </cfRule>
  </conditionalFormatting>
  <conditionalFormatting sqref="P28">
    <cfRule type="containsText" dxfId="200" priority="173" operator="containsText" text="INVALID MARK">
      <formula>NOT(ISERROR(SEARCH("INVALID MARK",P28)))</formula>
    </cfRule>
    <cfRule type="containsText" dxfId="199" priority="174" operator="containsText" text="INVALID ENTRY">
      <formula>NOT(ISERROR(SEARCH("INVALID ENTRY",P28)))</formula>
    </cfRule>
    <cfRule type="containsText" dxfId="198" priority="175" operator="containsText" text="MISSING MARK">
      <formula>NOT(ISERROR(SEARCH("MISSING MARK",P28)))</formula>
    </cfRule>
  </conditionalFormatting>
  <conditionalFormatting sqref="P29:P31">
    <cfRule type="containsText" dxfId="197" priority="170" operator="containsText" text="INVALID MARK">
      <formula>NOT(ISERROR(SEARCH("INVALID MARK",P29)))</formula>
    </cfRule>
    <cfRule type="containsText" dxfId="196" priority="171" operator="containsText" text="INVALID ENTRY">
      <formula>NOT(ISERROR(SEARCH("INVALID ENTRY",P29)))</formula>
    </cfRule>
    <cfRule type="containsText" dxfId="195" priority="172" operator="containsText" text="MISSING MARK">
      <formula>NOT(ISERROR(SEARCH("MISSING MARK",P29)))</formula>
    </cfRule>
  </conditionalFormatting>
  <conditionalFormatting sqref="Q28">
    <cfRule type="containsText" dxfId="194" priority="161" operator="containsText" text="INVALID MARK">
      <formula>NOT(ISERROR(SEARCH("INVALID MARK",Q28)))</formula>
    </cfRule>
    <cfRule type="containsText" dxfId="193" priority="162" operator="containsText" text="INVALID ENTRY">
      <formula>NOT(ISERROR(SEARCH("INVALID ENTRY",Q28)))</formula>
    </cfRule>
    <cfRule type="containsText" dxfId="192" priority="163" operator="containsText" text="MISSING MARK">
      <formula>NOT(ISERROR(SEARCH("MISSING MARK",Q28)))</formula>
    </cfRule>
  </conditionalFormatting>
  <conditionalFormatting sqref="Q29:Q31">
    <cfRule type="containsText" dxfId="191" priority="158" operator="containsText" text="INVALID MARK">
      <formula>NOT(ISERROR(SEARCH("INVALID MARK",Q29)))</formula>
    </cfRule>
    <cfRule type="containsText" dxfId="190" priority="159" operator="containsText" text="INVALID ENTRY">
      <formula>NOT(ISERROR(SEARCH("INVALID ENTRY",Q29)))</formula>
    </cfRule>
    <cfRule type="containsText" dxfId="189" priority="160" operator="containsText" text="MISSING MARK">
      <formula>NOT(ISERROR(SEARCH("MISSING MARK",Q29)))</formula>
    </cfRule>
  </conditionalFormatting>
  <conditionalFormatting sqref="I32:I36">
    <cfRule type="containsText" dxfId="188" priority="153" operator="containsText" text="A">
      <formula>NOT(ISERROR(SEARCH("A",I32)))</formula>
    </cfRule>
  </conditionalFormatting>
  <conditionalFormatting sqref="G32:G36">
    <cfRule type="containsText" dxfId="187" priority="152" operator="containsText" text="WRITE SUPP">
      <formula>NOT(ISERROR(SEARCH("WRITE SUPP",G32)))</formula>
    </cfRule>
  </conditionalFormatting>
  <conditionalFormatting sqref="N32:N36">
    <cfRule type="containsText" dxfId="186" priority="149" operator="containsText" text="INVALID MARK">
      <formula>NOT(ISERROR(SEARCH("INVALID MARK",N32)))</formula>
    </cfRule>
    <cfRule type="containsText" dxfId="185" priority="150" operator="containsText" text="INVALID ENTRY">
      <formula>NOT(ISERROR(SEARCH("INVALID ENTRY",N32)))</formula>
    </cfRule>
    <cfRule type="containsText" dxfId="184" priority="151" operator="containsText" text="MISSING MARK">
      <formula>NOT(ISERROR(SEARCH("MISSING MARK",N32)))</formula>
    </cfRule>
  </conditionalFormatting>
  <conditionalFormatting sqref="H32:H36">
    <cfRule type="containsText" dxfId="183" priority="147" operator="containsText" text="FAIL">
      <formula>NOT(ISERROR(SEARCH("FAIL",H32)))</formula>
    </cfRule>
  </conditionalFormatting>
  <conditionalFormatting sqref="I32:I36">
    <cfRule type="containsText" dxfId="182" priority="143" operator="containsText" text="F">
      <formula>NOT(ISERROR(SEARCH("F",I32)))</formula>
    </cfRule>
    <cfRule type="containsText" dxfId="181" priority="144" operator="containsText" text="D">
      <formula>NOT(ISERROR(SEARCH("D",I32)))</formula>
    </cfRule>
    <cfRule type="containsText" dxfId="180" priority="145" operator="containsText" text="C">
      <formula>NOT(ISERROR(SEARCH("C",I32)))</formula>
    </cfRule>
    <cfRule type="containsText" dxfId="179" priority="146" operator="containsText" text="B">
      <formula>NOT(ISERROR(SEARCH("B",I32)))</formula>
    </cfRule>
  </conditionalFormatting>
  <conditionalFormatting sqref="O32:O36">
    <cfRule type="containsText" dxfId="178" priority="140" operator="containsText" text="INVALID MARK">
      <formula>NOT(ISERROR(SEARCH("INVALID MARK",O32)))</formula>
    </cfRule>
    <cfRule type="containsText" dxfId="177" priority="141" operator="containsText" text="INVALID ENTRY">
      <formula>NOT(ISERROR(SEARCH("INVALID ENTRY",O32)))</formula>
    </cfRule>
    <cfRule type="containsText" dxfId="176" priority="142" operator="containsText" text="MISSING MARK">
      <formula>NOT(ISERROR(SEARCH("MISSING MARK",O32)))</formula>
    </cfRule>
  </conditionalFormatting>
  <conditionalFormatting sqref="P32:P36">
    <cfRule type="containsText" dxfId="175" priority="137" operator="containsText" text="INVALID MARK">
      <formula>NOT(ISERROR(SEARCH("INVALID MARK",P32)))</formula>
    </cfRule>
    <cfRule type="containsText" dxfId="174" priority="138" operator="containsText" text="INVALID ENTRY">
      <formula>NOT(ISERROR(SEARCH("INVALID ENTRY",P32)))</formula>
    </cfRule>
    <cfRule type="containsText" dxfId="173" priority="139" operator="containsText" text="MISSING MARK">
      <formula>NOT(ISERROR(SEARCH("MISSING MARK",P32)))</formula>
    </cfRule>
  </conditionalFormatting>
  <conditionalFormatting sqref="Q32:Q36">
    <cfRule type="containsText" dxfId="172" priority="134" operator="containsText" text="INVALID MARK">
      <formula>NOT(ISERROR(SEARCH("INVALID MARK",Q32)))</formula>
    </cfRule>
    <cfRule type="containsText" dxfId="171" priority="135" operator="containsText" text="INVALID ENTRY">
      <formula>NOT(ISERROR(SEARCH("INVALID ENTRY",Q32)))</formula>
    </cfRule>
    <cfRule type="containsText" dxfId="170" priority="136" operator="containsText" text="MISSING MARK">
      <formula>NOT(ISERROR(SEARCH("MISSING MARK",Q32)))</formula>
    </cfRule>
  </conditionalFormatting>
  <conditionalFormatting sqref="I37">
    <cfRule type="containsText" dxfId="169" priority="120" operator="containsText" text="A">
      <formula>NOT(ISERROR(SEARCH("A",I37)))</formula>
    </cfRule>
  </conditionalFormatting>
  <conditionalFormatting sqref="G37">
    <cfRule type="containsText" dxfId="168" priority="119" operator="containsText" text="WRITE SUPP">
      <formula>NOT(ISERROR(SEARCH("WRITE SUPP",G37)))</formula>
    </cfRule>
  </conditionalFormatting>
  <conditionalFormatting sqref="N37">
    <cfRule type="containsText" dxfId="167" priority="116" operator="containsText" text="INVALID MARK">
      <formula>NOT(ISERROR(SEARCH("INVALID MARK",N37)))</formula>
    </cfRule>
    <cfRule type="containsText" dxfId="166" priority="117" operator="containsText" text="INVALID ENTRY">
      <formula>NOT(ISERROR(SEARCH("INVALID ENTRY",N37)))</formula>
    </cfRule>
    <cfRule type="containsText" dxfId="165" priority="118" operator="containsText" text="MISSING MARK">
      <formula>NOT(ISERROR(SEARCH("MISSING MARK",N37)))</formula>
    </cfRule>
  </conditionalFormatting>
  <conditionalFormatting sqref="H37">
    <cfRule type="containsText" dxfId="164" priority="114" operator="containsText" text="FAIL">
      <formula>NOT(ISERROR(SEARCH("FAIL",H37)))</formula>
    </cfRule>
  </conditionalFormatting>
  <conditionalFormatting sqref="I37">
    <cfRule type="containsText" dxfId="163" priority="110" operator="containsText" text="F">
      <formula>NOT(ISERROR(SEARCH("F",I37)))</formula>
    </cfRule>
    <cfRule type="containsText" dxfId="162" priority="111" operator="containsText" text="D">
      <formula>NOT(ISERROR(SEARCH("D",I37)))</formula>
    </cfRule>
    <cfRule type="containsText" dxfId="161" priority="112" operator="containsText" text="C">
      <formula>NOT(ISERROR(SEARCH("C",I37)))</formula>
    </cfRule>
    <cfRule type="containsText" dxfId="160" priority="113" operator="containsText" text="B">
      <formula>NOT(ISERROR(SEARCH("B",I37)))</formula>
    </cfRule>
  </conditionalFormatting>
  <conditionalFormatting sqref="O37">
    <cfRule type="containsText" dxfId="159" priority="107" operator="containsText" text="INVALID MARK">
      <formula>NOT(ISERROR(SEARCH("INVALID MARK",O37)))</formula>
    </cfRule>
    <cfRule type="containsText" dxfId="158" priority="108" operator="containsText" text="INVALID ENTRY">
      <formula>NOT(ISERROR(SEARCH("INVALID ENTRY",O37)))</formula>
    </cfRule>
    <cfRule type="containsText" dxfId="157" priority="109" operator="containsText" text="MISSING MARK">
      <formula>NOT(ISERROR(SEARCH("MISSING MARK",O37)))</formula>
    </cfRule>
  </conditionalFormatting>
  <conditionalFormatting sqref="P37">
    <cfRule type="containsText" dxfId="156" priority="104" operator="containsText" text="INVALID MARK">
      <formula>NOT(ISERROR(SEARCH("INVALID MARK",P37)))</formula>
    </cfRule>
    <cfRule type="containsText" dxfId="155" priority="105" operator="containsText" text="INVALID ENTRY">
      <formula>NOT(ISERROR(SEARCH("INVALID ENTRY",P37)))</formula>
    </cfRule>
    <cfRule type="containsText" dxfId="154" priority="106" operator="containsText" text="MISSING MARK">
      <formula>NOT(ISERROR(SEARCH("MISSING MARK",P37)))</formula>
    </cfRule>
  </conditionalFormatting>
  <conditionalFormatting sqref="Q37">
    <cfRule type="containsText" dxfId="153" priority="101" operator="containsText" text="INVALID MARK">
      <formula>NOT(ISERROR(SEARCH("INVALID MARK",Q37)))</formula>
    </cfRule>
    <cfRule type="containsText" dxfId="152" priority="102" operator="containsText" text="INVALID ENTRY">
      <formula>NOT(ISERROR(SEARCH("INVALID ENTRY",Q37)))</formula>
    </cfRule>
    <cfRule type="containsText" dxfId="151" priority="103" operator="containsText" text="MISSING MARK">
      <formula>NOT(ISERROR(SEARCH("MISSING MARK",Q37)))</formula>
    </cfRule>
  </conditionalFormatting>
  <conditionalFormatting sqref="K38">
    <cfRule type="containsText" dxfId="49" priority="1" operator="containsText" text="MISSING MARK">
      <formula>NOT(ISERROR(SEARCH("MISSING MARK",K38)))</formula>
    </cfRule>
    <cfRule type="containsText" dxfId="48" priority="22" operator="containsText" text="INVALID MARK">
      <formula>NOT(ISERROR(SEARCH("INVALID MARK",K38)))</formula>
    </cfRule>
    <cfRule type="cellIs" dxfId="47" priority="23" operator="lessThan">
      <formula>$D$12</formula>
    </cfRule>
    <cfRule type="cellIs" priority="24" operator="greaterThanOrEqual">
      <formula>$D$12</formula>
    </cfRule>
    <cfRule type="expression" dxfId="46" priority="25">
      <formula>"&gt;=$D$10"</formula>
    </cfRule>
  </conditionalFormatting>
  <conditionalFormatting sqref="J38">
    <cfRule type="cellIs" dxfId="45" priority="21" operator="lessThan">
      <formula>$D$10</formula>
    </cfRule>
  </conditionalFormatting>
  <conditionalFormatting sqref="I38">
    <cfRule type="containsText" dxfId="44" priority="20" operator="containsText" text="A">
      <formula>NOT(ISERROR(SEARCH("A",I38)))</formula>
    </cfRule>
  </conditionalFormatting>
  <conditionalFormatting sqref="G38">
    <cfRule type="containsText" dxfId="43" priority="19" operator="containsText" text="WRITE SUPP">
      <formula>NOT(ISERROR(SEARCH("WRITE SUPP",G38)))</formula>
    </cfRule>
  </conditionalFormatting>
  <conditionalFormatting sqref="N38">
    <cfRule type="containsText" dxfId="42" priority="16" operator="containsText" text="INVALID MARK">
      <formula>NOT(ISERROR(SEARCH("INVALID MARK",N38)))</formula>
    </cfRule>
    <cfRule type="containsText" dxfId="41" priority="17" operator="containsText" text="INVALID ENTRY">
      <formula>NOT(ISERROR(SEARCH("INVALID ENTRY",N38)))</formula>
    </cfRule>
    <cfRule type="containsText" dxfId="40" priority="18" operator="containsText" text="MISSING MARK">
      <formula>NOT(ISERROR(SEARCH("MISSING MARK",N38)))</formula>
    </cfRule>
  </conditionalFormatting>
  <conditionalFormatting sqref="H38">
    <cfRule type="containsText" dxfId="39" priority="15" operator="containsText" text="FAIL">
      <formula>NOT(ISERROR(SEARCH("FAIL",H38)))</formula>
    </cfRule>
  </conditionalFormatting>
  <conditionalFormatting sqref="I38">
    <cfRule type="containsText" dxfId="38" priority="11" operator="containsText" text="F">
      <formula>NOT(ISERROR(SEARCH("F",I38)))</formula>
    </cfRule>
    <cfRule type="containsText" dxfId="37" priority="12" operator="containsText" text="D">
      <formula>NOT(ISERROR(SEARCH("D",I38)))</formula>
    </cfRule>
    <cfRule type="containsText" dxfId="36" priority="13" operator="containsText" text="C">
      <formula>NOT(ISERROR(SEARCH("C",I38)))</formula>
    </cfRule>
    <cfRule type="containsText" dxfId="35" priority="14" operator="containsText" text="B">
      <formula>NOT(ISERROR(SEARCH("B",I38)))</formula>
    </cfRule>
  </conditionalFormatting>
  <conditionalFormatting sqref="O38">
    <cfRule type="containsText" dxfId="34" priority="8" operator="containsText" text="INVALID MARK">
      <formula>NOT(ISERROR(SEARCH("INVALID MARK",O38)))</formula>
    </cfRule>
    <cfRule type="containsText" dxfId="33" priority="9" operator="containsText" text="INVALID ENTRY">
      <formula>NOT(ISERROR(SEARCH("INVALID ENTRY",O38)))</formula>
    </cfRule>
    <cfRule type="containsText" dxfId="32" priority="10" operator="containsText" text="MISSING MARK">
      <formula>NOT(ISERROR(SEARCH("MISSING MARK",O38)))</formula>
    </cfRule>
  </conditionalFormatting>
  <conditionalFormatting sqref="P38">
    <cfRule type="containsText" dxfId="31" priority="5" operator="containsText" text="INVALID MARK">
      <formula>NOT(ISERROR(SEARCH("INVALID MARK",P38)))</formula>
    </cfRule>
    <cfRule type="containsText" dxfId="30" priority="6" operator="containsText" text="INVALID ENTRY">
      <formula>NOT(ISERROR(SEARCH("INVALID ENTRY",P38)))</formula>
    </cfRule>
    <cfRule type="containsText" dxfId="29" priority="7" operator="containsText" text="MISSING MARK">
      <formula>NOT(ISERROR(SEARCH("MISSING MARK",P38)))</formula>
    </cfRule>
  </conditionalFormatting>
  <conditionalFormatting sqref="Q38">
    <cfRule type="containsText" dxfId="28" priority="2" operator="containsText" text="INVALID MARK">
      <formula>NOT(ISERROR(SEARCH("INVALID MARK",Q38)))</formula>
    </cfRule>
    <cfRule type="containsText" dxfId="27" priority="3" operator="containsText" text="INVALID ENTRY">
      <formula>NOT(ISERROR(SEARCH("INVALID ENTRY",Q38)))</formula>
    </cfRule>
    <cfRule type="containsText" dxfId="26" priority="4" operator="containsText" text="MISSING MARK">
      <formula>NOT(ISERROR(SEARCH("MISSING MARK",Q38)))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Test">
                <anchor moveWithCells="1" sizeWithCells="1">
                  <from>
                    <xdr:col>19</xdr:col>
                    <xdr:colOff>266700</xdr:colOff>
                    <xdr:row>2</xdr:row>
                    <xdr:rowOff>95250</xdr:rowOff>
                  </from>
                  <to>
                    <xdr:col>20</xdr:col>
                    <xdr:colOff>361950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L17" sqref="L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75</v>
      </c>
      <c r="G3" s="4">
        <v>0</v>
      </c>
    </row>
    <row r="4" spans="3:126" ht="123.75" customHeight="1" thickBot="1" x14ac:dyDescent="0.3">
      <c r="C4" s="21"/>
      <c r="F4" s="131" t="s">
        <v>76</v>
      </c>
      <c r="G4" s="131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IF(ISOVERMAX(L7:U7),"INVALID MARK",IF(COUNT(L7:U7)=COUNT(L$6:U$6),IFERROR(H7*K$6,),IF(COUNT(L7:U7)&lt;COUNT(L$6:U$6),"MISSING MARK","INVALID ENTRY")))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IF(ISOVERMAX(L8:U8),"INVALID MARK",IF(COUNT(L8:U8)=COUNT(L$6:U$6),IFERROR(H8*K$6,),IF(COUNT(L8:U8)&lt;COUNT(L$6:U$6),"MISSING MARK","INVALID ENTRY")))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IF(ISOVERMAX(L9:U9),"INVALID MARK",IF(COUNT(L9:U9)=COUNT(L$6:U$6),IFERROR(H9*K$6,),IF(COUNT(L9:U9)&lt;COUNT(L$6:U$6),"MISSING MARK","INVALID ENTRY")))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IF(ISOVERMAX(L10:U10),"INVALID MARK",IF(COUNT(L10:U10)=COUNT(L$6:U$6),IFERROR(H10*K$6,),IF(COUNT(L10:U10)&lt;COUNT(L$6:U$6),"MISSING MARK","INVALID ENTRY")))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IF(ISOVERMAX(L11:U11),"INVALID MARK",IF(COUNT(L11:U11)=COUNT(L$6:U$6),IFERROR(H11*K$6,),IF(COUNT(L11:U11)&lt;COUNT(L$6:U$6),"MISSING MARK","INVALID ENTRY")))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IF(ISOVERMAX(L12:U12),"INVALID MARK",IF(COUNT(L12:U12)=COUNT(L$6:U$6),IFERROR(H12*K$6,),IF(COUNT(L12:U12)&lt;COUNT(L$6:U$6),"MISSING MARK","INVALID ENTRY")))</f>
        <v>3.5000000000000004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IF(ISOVERMAX(L13:U13),"INVALID MARK",IF(COUNT(L13:U13)=COUNT(L$6:U$6),IFERROR(H13*K$6,),IF(COUNT(L13:U13)&lt;COUNT(L$6:U$6),"MISSING MARK","INVALID ENTRY")))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 t="str">
        <f>IF(ISOVERMAX(L14:U14),"INVALID MARK",IF(COUNT(L14:U14)=COUNT(L$6:U$6),IFERROR(H14*K$6,),IF(COUNT(L14:U14)&lt;COUNT(L$6:U$6),"MISSING MARK","INVALID ENTRY")))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IF(ISOVERMAX(L15:U15),"INVALID MARK",IF(COUNT(L15:U15)=COUNT(L$6:U$6),IFERROR(H15*K$6,),IF(COUNT(L15:U15)&lt;COUNT(L$6:U$6),"MISSING MARK","INVALID ENTRY")))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IF(ISOVERMAX(L16:U16),"INVALID MARK",IF(COUNT(L16:U16)=COUNT(L$6:U$6),IFERROR(H16*K$6,),IF(COUNT(L16:U16)&lt;COUNT(L$6:U$6),"MISSING MARK","INVALID ENTRY")))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IF(ISOVERMAX(L17:U17),"INVALID MARK",IF(COUNT(L17:U17)=COUNT(L$6:U$6),IFERROR(H17*K$6,),IF(COUNT(L17:U17)&lt;COUNT(L$6:U$6),"MISSING MARK","INVALID ENTRY")))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">
    <cfRule type="containsText" dxfId="150" priority="216" operator="containsText" text="INVALID MARK">
      <formula>NOT(ISERROR(SEARCH("INVALID MARK",I7)))</formula>
    </cfRule>
    <cfRule type="containsText" dxfId="149" priority="217" operator="containsText" text="INVALID ENTRY">
      <formula>NOT(ISERROR(SEARCH("INVALID ENTRY",I7)))</formula>
    </cfRule>
    <cfRule type="containsText" dxfId="148" priority="218" operator="containsText" text="MISSING MARK">
      <formula>NOT(ISERROR(SEARCH("MISSING MARK",I7)))</formula>
    </cfRule>
  </conditionalFormatting>
  <conditionalFormatting sqref="D7">
    <cfRule type="containsText" dxfId="147" priority="46" operator="containsText" text="FAIL">
      <formula>NOT(ISERROR(SEARCH("FAIL",D7)))</formula>
    </cfRule>
    <cfRule type="containsText" dxfId="146" priority="47" operator="containsText" text="PASS">
      <formula>NOT(ISERROR(SEARCH("PASS",D7)))</formula>
    </cfRule>
  </conditionalFormatting>
  <conditionalFormatting sqref="I8:I10">
    <cfRule type="containsText" dxfId="145" priority="33" operator="containsText" text="INVALID MARK">
      <formula>NOT(ISERROR(SEARCH("INVALID MARK",I8)))</formula>
    </cfRule>
    <cfRule type="containsText" dxfId="144" priority="34" operator="containsText" text="INVALID ENTRY">
      <formula>NOT(ISERROR(SEARCH("INVALID ENTRY",I8)))</formula>
    </cfRule>
    <cfRule type="containsText" dxfId="143" priority="35" operator="containsText" text="MISSING MARK">
      <formula>NOT(ISERROR(SEARCH("MISSING MARK",I8)))</formula>
    </cfRule>
  </conditionalFormatting>
  <conditionalFormatting sqref="D8:D10">
    <cfRule type="containsText" dxfId="142" priority="31" operator="containsText" text="FAIL">
      <formula>NOT(ISERROR(SEARCH("FAIL",D8)))</formula>
    </cfRule>
    <cfRule type="containsText" dxfId="141" priority="32" operator="containsText" text="PASS">
      <formula>NOT(ISERROR(SEARCH("PASS",D8)))</formula>
    </cfRule>
  </conditionalFormatting>
  <conditionalFormatting sqref="I11:I15">
    <cfRule type="containsText" dxfId="140" priority="28" operator="containsText" text="INVALID MARK">
      <formula>NOT(ISERROR(SEARCH("INVALID MARK",I11)))</formula>
    </cfRule>
    <cfRule type="containsText" dxfId="139" priority="29" operator="containsText" text="INVALID ENTRY">
      <formula>NOT(ISERROR(SEARCH("INVALID ENTRY",I11)))</formula>
    </cfRule>
    <cfRule type="containsText" dxfId="138" priority="30" operator="containsText" text="MISSING MARK">
      <formula>NOT(ISERROR(SEARCH("MISSING MARK",I11)))</formula>
    </cfRule>
  </conditionalFormatting>
  <conditionalFormatting sqref="D11:D15">
    <cfRule type="containsText" dxfId="137" priority="26" operator="containsText" text="FAIL">
      <formula>NOT(ISERROR(SEARCH("FAIL",D11)))</formula>
    </cfRule>
    <cfRule type="containsText" dxfId="136" priority="27" operator="containsText" text="PASS">
      <formula>NOT(ISERROR(SEARCH("PASS",D11)))</formula>
    </cfRule>
  </conditionalFormatting>
  <conditionalFormatting sqref="I16">
    <cfRule type="containsText" dxfId="135" priority="23" operator="containsText" text="INVALID MARK">
      <formula>NOT(ISERROR(SEARCH("INVALID MARK",I16)))</formula>
    </cfRule>
    <cfRule type="containsText" dxfId="134" priority="24" operator="containsText" text="INVALID ENTRY">
      <formula>NOT(ISERROR(SEARCH("INVALID ENTRY",I16)))</formula>
    </cfRule>
    <cfRule type="containsText" dxfId="133" priority="25" operator="containsText" text="MISSING MARK">
      <formula>NOT(ISERROR(SEARCH("MISSING MARK",I16)))</formula>
    </cfRule>
  </conditionalFormatting>
  <conditionalFormatting sqref="D16">
    <cfRule type="containsText" dxfId="132" priority="21" operator="containsText" text="FAIL">
      <formula>NOT(ISERROR(SEARCH("FAIL",D16)))</formula>
    </cfRule>
    <cfRule type="containsText" dxfId="131" priority="22" operator="containsText" text="PASS">
      <formula>NOT(ISERROR(SEARCH("PASS",D16)))</formula>
    </cfRule>
  </conditionalFormatting>
  <conditionalFormatting sqref="I17">
    <cfRule type="containsText" dxfId="25" priority="3" operator="containsText" text="INVALID MARK">
      <formula>NOT(ISERROR(SEARCH("INVALID MARK",I17)))</formula>
    </cfRule>
    <cfRule type="containsText" dxfId="24" priority="4" operator="containsText" text="INVALID ENTRY">
      <formula>NOT(ISERROR(SEARCH("INVALID ENTRY",I17)))</formula>
    </cfRule>
    <cfRule type="containsText" dxfId="23" priority="5" operator="containsText" text="MISSING MARK">
      <formula>NOT(ISERROR(SEARCH("MISSING MARK",I17)))</formula>
    </cfRule>
  </conditionalFormatting>
  <conditionalFormatting sqref="D17">
    <cfRule type="containsText" dxfId="22" priority="1" operator="containsText" text="FAIL">
      <formula>NOT(ISERROR(SEARCH("FAIL",D17)))</formula>
    </cfRule>
    <cfRule type="containsText" dxfId="21" priority="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433"/>
  <sheetViews>
    <sheetView workbookViewId="0">
      <selection activeCell="M18" sqref="M18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IF(ISOVERMAX(L7:U7),"INVALID MARK",IF(COUNT(L7:U7)=COUNT(L$6:U$6),IFERROR(H7*K$6,),IF(COUNT(L7:U7)&lt;COUNT(L$6:U$6),"MISSING MARK","INVALID ENTRY")))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IF(ISOVERMAX(L8:U8),"INVALID MARK",IF(COUNT(L8:U8)=COUNT(L$6:U$6),IFERROR(H8*K$6,),IF(COUNT(L8:U8)&lt;COUNT(L$6:U$6),"MISSING MARK","INVALID ENTRY")))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IF(ISOVERMAX(L9:U9),"INVALID MARK",IF(COUNT(L9:U9)=COUNT(L$6:U$6),IFERROR(H9*K$6,),IF(COUNT(L9:U9)&lt;COUNT(L$6:U$6),"MISSING MARK","INVALID ENTRY")))</f>
        <v>10.500000000000002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IF(ISOVERMAX(L10:U10),"INVALID MARK",IF(COUNT(L10:U10)=COUNT(L$6:U$6),IFERROR(H10*K$6,),IF(COUNT(L10:U10)&lt;COUNT(L$6:U$6),"MISSING MARK","INVALID ENTRY")))</f>
        <v>15.499999999999998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IF(ISOVERMAX(L11:U11),"INVALID MARK",IF(COUNT(L11:U11)=COUNT(L$6:U$6),IFERROR(H11*K$6,),IF(COUNT(L11:U11)&lt;COUNT(L$6:U$6),"MISSING MARK","INVALID ENTRY")))</f>
        <v>16.499999999999996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IF(ISOVERMAX(L12:U12),"INVALID MARK",IF(COUNT(L12:U12)=COUNT(L$6:U$6),IFERROR(H12*K$6,),IF(COUNT(L12:U12)&lt;COUNT(L$6:U$6),"MISSING MARK","INVALID ENTRY")))</f>
        <v>9.5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 t="str">
        <f>IF(ISOVERMAX(L13:U13),"INVALID MARK",IF(COUNT(L13:U13)=COUNT(L$6:U$6),IFERROR(H13*K$6,),IF(COUNT(L13:U13)&lt;COUNT(L$6:U$6),"MISSING MARK","INVALID ENTRY")))</f>
        <v>INVALID MARK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IF(ISOVERMAX(L14:U14),"INVALID MARK",IF(COUNT(L14:U14)=COUNT(L$6:U$6),IFERROR(H14*K$6,),IF(COUNT(L14:U14)&lt;COUNT(L$6:U$6),"MISSING MARK","INVALID ENTRY")))</f>
        <v>17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IF(ISOVERMAX(L15:U15),"INVALID MARK",IF(COUNT(L15:U15)=COUNT(L$6:U$6),IFERROR(H15*K$6,),IF(COUNT(L15:U15)&lt;COUNT(L$6:U$6),"MISSING MARK","INVALID ENTRY")))</f>
        <v>12.5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IF(ISOVERMAX(L16:U16),"INVALID MARK",IF(COUNT(L16:U16)=COUNT(L$6:U$6),IFERROR(H16*K$6,),IF(COUNT(L16:U16)&lt;COUNT(L$6:U$6),"MISSING MARK","INVALID ENTRY")))</f>
        <v>19.499999999999996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IF(ISOVERMAX(L17:U17),"INVALID MARK",IF(COUNT(L17:U17)=COUNT(L$6:U$6),IFERROR(H17*K$6,),IF(COUNT(L17:U17)&lt;COUNT(L$6:U$6),"MISSING MARK","INVALID ENTRY")))</f>
        <v>18.499999999999996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130" priority="38" operator="containsText" text="INVALID MARK">
      <formula>NOT(ISERROR(SEARCH("INVALID MARK",I7)))</formula>
    </cfRule>
    <cfRule type="containsText" dxfId="129" priority="39" operator="containsText" text="INVALID ENTRY">
      <formula>NOT(ISERROR(SEARCH("INVALID ENTRY",I7)))</formula>
    </cfRule>
    <cfRule type="containsText" dxfId="128" priority="40" operator="containsText" text="MISSING MARK">
      <formula>NOT(ISERROR(SEARCH("MISSING MARK",I7)))</formula>
    </cfRule>
  </conditionalFormatting>
  <conditionalFormatting sqref="D7">
    <cfRule type="containsText" dxfId="127" priority="36" operator="containsText" text="FAIL">
      <formula>NOT(ISERROR(SEARCH("FAIL",D7)))</formula>
    </cfRule>
    <cfRule type="containsText" dxfId="126" priority="37" operator="containsText" text="PASS">
      <formula>NOT(ISERROR(SEARCH("PASS",D7)))</formula>
    </cfRule>
  </conditionalFormatting>
  <conditionalFormatting sqref="I8:I10">
    <cfRule type="containsText" dxfId="125" priority="33" operator="containsText" text="INVALID MARK">
      <formula>NOT(ISERROR(SEARCH("INVALID MARK",I8)))</formula>
    </cfRule>
    <cfRule type="containsText" dxfId="124" priority="34" operator="containsText" text="INVALID ENTRY">
      <formula>NOT(ISERROR(SEARCH("INVALID ENTRY",I8)))</formula>
    </cfRule>
    <cfRule type="containsText" dxfId="123" priority="35" operator="containsText" text="MISSING MARK">
      <formula>NOT(ISERROR(SEARCH("MISSING MARK",I8)))</formula>
    </cfRule>
  </conditionalFormatting>
  <conditionalFormatting sqref="D8:D10">
    <cfRule type="containsText" dxfId="122" priority="31" operator="containsText" text="FAIL">
      <formula>NOT(ISERROR(SEARCH("FAIL",D8)))</formula>
    </cfRule>
    <cfRule type="containsText" dxfId="121" priority="32" operator="containsText" text="PASS">
      <formula>NOT(ISERROR(SEARCH("PASS",D8)))</formula>
    </cfRule>
  </conditionalFormatting>
  <conditionalFormatting sqref="I11:I15">
    <cfRule type="containsText" dxfId="120" priority="28" operator="containsText" text="INVALID MARK">
      <formula>NOT(ISERROR(SEARCH("INVALID MARK",I11)))</formula>
    </cfRule>
    <cfRule type="containsText" dxfId="119" priority="29" operator="containsText" text="INVALID ENTRY">
      <formula>NOT(ISERROR(SEARCH("INVALID ENTRY",I11)))</formula>
    </cfRule>
    <cfRule type="containsText" dxfId="118" priority="30" operator="containsText" text="MISSING MARK">
      <formula>NOT(ISERROR(SEARCH("MISSING MARK",I11)))</formula>
    </cfRule>
  </conditionalFormatting>
  <conditionalFormatting sqref="D11:D15">
    <cfRule type="containsText" dxfId="117" priority="26" operator="containsText" text="FAIL">
      <formula>NOT(ISERROR(SEARCH("FAIL",D11)))</formula>
    </cfRule>
    <cfRule type="containsText" dxfId="116" priority="27" operator="containsText" text="PASS">
      <formula>NOT(ISERROR(SEARCH("PASS",D11)))</formula>
    </cfRule>
  </conditionalFormatting>
  <conditionalFormatting sqref="I16">
    <cfRule type="containsText" dxfId="115" priority="23" operator="containsText" text="INVALID MARK">
      <formula>NOT(ISERROR(SEARCH("INVALID MARK",I16)))</formula>
    </cfRule>
    <cfRule type="containsText" dxfId="114" priority="24" operator="containsText" text="INVALID ENTRY">
      <formula>NOT(ISERROR(SEARCH("INVALID ENTRY",I16)))</formula>
    </cfRule>
    <cfRule type="containsText" dxfId="113" priority="25" operator="containsText" text="MISSING MARK">
      <formula>NOT(ISERROR(SEARCH("MISSING MARK",I16)))</formula>
    </cfRule>
  </conditionalFormatting>
  <conditionalFormatting sqref="D16">
    <cfRule type="containsText" dxfId="112" priority="21" operator="containsText" text="FAIL">
      <formula>NOT(ISERROR(SEARCH("FAIL",D16)))</formula>
    </cfRule>
    <cfRule type="containsText" dxfId="111" priority="22" operator="containsText" text="PASS">
      <formula>NOT(ISERROR(SEARCH("PASS",D16)))</formula>
    </cfRule>
  </conditionalFormatting>
  <conditionalFormatting sqref="I17">
    <cfRule type="containsText" dxfId="20" priority="3" operator="containsText" text="INVALID MARK">
      <formula>NOT(ISERROR(SEARCH("INVALID MARK",I17)))</formula>
    </cfRule>
    <cfRule type="containsText" dxfId="19" priority="4" operator="containsText" text="INVALID ENTRY">
      <formula>NOT(ISERROR(SEARCH("INVALID ENTRY",I17)))</formula>
    </cfRule>
    <cfRule type="containsText" dxfId="18" priority="5" operator="containsText" text="MISSING MARK">
      <formula>NOT(ISERROR(SEARCH("MISSING MARK",I17)))</formula>
    </cfRule>
  </conditionalFormatting>
  <conditionalFormatting sqref="D17">
    <cfRule type="containsText" dxfId="17" priority="1" operator="containsText" text="FAIL">
      <formula>NOT(ISERROR(SEARCH("FAIL",D17)))</formula>
    </cfRule>
    <cfRule type="containsText" dxfId="16" priority="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433"/>
  <sheetViews>
    <sheetView workbookViewId="0">
      <selection activeCell="L25" sqref="K25:L25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IF(ISOVERMAX(L7:U7),"INVALID MARK",IF(COUNT(L7:U7)=COUNT(L$6:U$6),IFERROR(H7*K$6,),IF(COUNT(L7:U7)&lt;COUNT(L$6:U$6),"MISSING MARK","INVALID ENTRY")))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IF(ISOVERMAX(L8:U8),"INVALID MARK",IF(COUNT(L8:U8)=COUNT(L$6:U$6),IFERROR(H8*K$6,),IF(COUNT(L8:U8)&lt;COUNT(L$6:U$6),"MISSING MARK","INVALID ENTRY")))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MARK",IF(COUNT(L9:U9)=COUNT(L$6:U$6),IFERROR(H9*K$6,),IF(COUNT(L9:U9)&lt;COUNT(L$6:U$6),"MISSING MARK","INVALID ENTRY")))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IF(ISOVERMAX(L10:U10),"INVALID MARK",IF(COUNT(L10:U10)=COUNT(L$6:U$6),IFERROR(H10*K$6,),IF(COUNT(L10:U10)&lt;COUNT(L$6:U$6),"MISSING MARK","INVALID ENTRY")))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IF(ISOVERMAX(L11:U11),"INVALID MARK",IF(COUNT(L11:U11)=COUNT(L$6:U$6),IFERROR(H11*K$6,),IF(COUNT(L11:U11)&lt;COUNT(L$6:U$6),"MISSING MARK","INVALID ENTRY")))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IF(ISOVERMAX(L12:U12),"INVALID MARK",IF(COUNT(L12:U12)=COUNT(L$6:U$6),IFERROR(H12*K$6,),IF(COUNT(L12:U12)&lt;COUNT(L$6:U$6),"MISSING MARK","INVALID ENTRY")))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IF(ISOVERMAX(L13:U13),"INVALID MARK",IF(COUNT(L13:U13)=COUNT(L$6:U$6),IFERROR(H13*K$6,),IF(COUNT(L13:U13)&lt;COUNT(L$6:U$6),"MISSING MARK","INVALID ENTRY")))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IF(ISOVERMAX(L14:U14),"INVALID MARK",IF(COUNT(L14:U14)=COUNT(L$6:U$6),IFERROR(H14*K$6,),IF(COUNT(L14:U14)&lt;COUNT(L$6:U$6),"MISSING MARK","INVALID ENTRY")))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IF(ISOVERMAX(L15:U15),"INVALID MARK",IF(COUNT(L15:U15)=COUNT(L$6:U$6),IFERROR(H15*K$6,),IF(COUNT(L15:U15)&lt;COUNT(L$6:U$6),"MISSING MARK","INVALID ENTRY")))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IF(ISOVERMAX(L16:U16),"INVALID MARK",IF(COUNT(L16:U16)=COUNT(L$6:U$6),IFERROR(H16*K$6,),IF(COUNT(L16:U16)&lt;COUNT(L$6:U$6),"MISSING MARK","INVALID ENTRY")))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1.25</v>
      </c>
      <c r="I17" s="20" t="str">
        <f>IF(ISOVERMAX(L17:U17),"INVALID MARK",IF(COUNT(L17:U17)=COUNT(L$6:U$6),IFERROR(H17*K$6,),IF(COUNT(L17:U17)&lt;COUNT(L$6:U$6),"MISSING MARK","INVALID ENTRY")))</f>
        <v>INVALID MARK</v>
      </c>
      <c r="J17" s="28">
        <v>0</v>
      </c>
      <c r="K17" s="24">
        <f t="shared" ref="K17" si="12">SUM(L17:U17)</f>
        <v>25</v>
      </c>
      <c r="L17" s="9">
        <v>15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110" priority="38" operator="containsText" text="INVALID MARK">
      <formula>NOT(ISERROR(SEARCH("INVALID MARK",I7)))</formula>
    </cfRule>
    <cfRule type="containsText" dxfId="109" priority="39" operator="containsText" text="INVALID ENTRY">
      <formula>NOT(ISERROR(SEARCH("INVALID ENTRY",I7)))</formula>
    </cfRule>
    <cfRule type="containsText" dxfId="108" priority="40" operator="containsText" text="MISSING MARK">
      <formula>NOT(ISERROR(SEARCH("MISSING MARK",I7)))</formula>
    </cfRule>
  </conditionalFormatting>
  <conditionalFormatting sqref="D7">
    <cfRule type="containsText" dxfId="107" priority="36" operator="containsText" text="FAIL">
      <formula>NOT(ISERROR(SEARCH("FAIL",D7)))</formula>
    </cfRule>
    <cfRule type="containsText" dxfId="106" priority="37" operator="containsText" text="PASS">
      <formula>NOT(ISERROR(SEARCH("PASS",D7)))</formula>
    </cfRule>
  </conditionalFormatting>
  <conditionalFormatting sqref="I8:I10">
    <cfRule type="containsText" dxfId="105" priority="33" operator="containsText" text="INVALID MARK">
      <formula>NOT(ISERROR(SEARCH("INVALID MARK",I8)))</formula>
    </cfRule>
    <cfRule type="containsText" dxfId="104" priority="34" operator="containsText" text="INVALID ENTRY">
      <formula>NOT(ISERROR(SEARCH("INVALID ENTRY",I8)))</formula>
    </cfRule>
    <cfRule type="containsText" dxfId="103" priority="35" operator="containsText" text="MISSING MARK">
      <formula>NOT(ISERROR(SEARCH("MISSING MARK",I8)))</formula>
    </cfRule>
  </conditionalFormatting>
  <conditionalFormatting sqref="D8:D10">
    <cfRule type="containsText" dxfId="102" priority="31" operator="containsText" text="FAIL">
      <formula>NOT(ISERROR(SEARCH("FAIL",D8)))</formula>
    </cfRule>
    <cfRule type="containsText" dxfId="101" priority="32" operator="containsText" text="PASS">
      <formula>NOT(ISERROR(SEARCH("PASS",D8)))</formula>
    </cfRule>
  </conditionalFormatting>
  <conditionalFormatting sqref="I11:I15">
    <cfRule type="containsText" dxfId="100" priority="28" operator="containsText" text="INVALID MARK">
      <formula>NOT(ISERROR(SEARCH("INVALID MARK",I11)))</formula>
    </cfRule>
    <cfRule type="containsText" dxfId="99" priority="29" operator="containsText" text="INVALID ENTRY">
      <formula>NOT(ISERROR(SEARCH("INVALID ENTRY",I11)))</formula>
    </cfRule>
    <cfRule type="containsText" dxfId="98" priority="30" operator="containsText" text="MISSING MARK">
      <formula>NOT(ISERROR(SEARCH("MISSING MARK",I11)))</formula>
    </cfRule>
  </conditionalFormatting>
  <conditionalFormatting sqref="D11:D15">
    <cfRule type="containsText" dxfId="97" priority="26" operator="containsText" text="FAIL">
      <formula>NOT(ISERROR(SEARCH("FAIL",D11)))</formula>
    </cfRule>
    <cfRule type="containsText" dxfId="96" priority="27" operator="containsText" text="PASS">
      <formula>NOT(ISERROR(SEARCH("PASS",D11)))</formula>
    </cfRule>
  </conditionalFormatting>
  <conditionalFormatting sqref="I16">
    <cfRule type="containsText" dxfId="95" priority="23" operator="containsText" text="INVALID MARK">
      <formula>NOT(ISERROR(SEARCH("INVALID MARK",I16)))</formula>
    </cfRule>
    <cfRule type="containsText" dxfId="94" priority="24" operator="containsText" text="INVALID ENTRY">
      <formula>NOT(ISERROR(SEARCH("INVALID ENTRY",I16)))</formula>
    </cfRule>
    <cfRule type="containsText" dxfId="93" priority="25" operator="containsText" text="MISSING MARK">
      <formula>NOT(ISERROR(SEARCH("MISSING MARK",I16)))</formula>
    </cfRule>
  </conditionalFormatting>
  <conditionalFormatting sqref="D16">
    <cfRule type="containsText" dxfId="92" priority="21" operator="containsText" text="FAIL">
      <formula>NOT(ISERROR(SEARCH("FAIL",D16)))</formula>
    </cfRule>
    <cfRule type="containsText" dxfId="91" priority="22" operator="containsText" text="PASS">
      <formula>NOT(ISERROR(SEARCH("PASS",D16)))</formula>
    </cfRule>
  </conditionalFormatting>
  <conditionalFormatting sqref="I17">
    <cfRule type="containsText" dxfId="15" priority="3" operator="containsText" text="INVALID MARK">
      <formula>NOT(ISERROR(SEARCH("INVALID MARK",I17)))</formula>
    </cfRule>
    <cfRule type="containsText" dxfId="14" priority="4" operator="containsText" text="INVALID ENTRY">
      <formula>NOT(ISERROR(SEARCH("INVALID ENTRY",I17)))</formula>
    </cfRule>
    <cfRule type="containsText" dxfId="13" priority="5" operator="containsText" text="MISSING MARK">
      <formula>NOT(ISERROR(SEARCH("MISSING MARK",I17)))</formula>
    </cfRule>
  </conditionalFormatting>
  <conditionalFormatting sqref="D17">
    <cfRule type="containsText" dxfId="12" priority="1" operator="containsText" text="FAIL">
      <formula>NOT(ISERROR(SEARCH("FAIL",D17)))</formula>
    </cfRule>
    <cfRule type="containsText" dxfId="11" priority="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433"/>
  <sheetViews>
    <sheetView workbookViewId="0">
      <selection activeCell="L23" sqref="L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75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31" t="s">
        <v>76</v>
      </c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56</v>
      </c>
      <c r="M5" s="86" t="s">
        <v>57</v>
      </c>
      <c r="N5" s="86" t="s">
        <v>58</v>
      </c>
      <c r="O5" s="86" t="s">
        <v>59</v>
      </c>
      <c r="P5" s="86" t="s">
        <v>60</v>
      </c>
      <c r="Q5" s="86" t="s">
        <v>61</v>
      </c>
      <c r="R5" s="86" t="s">
        <v>62</v>
      </c>
      <c r="S5" s="86" t="s">
        <v>63</v>
      </c>
      <c r="T5" s="86" t="s">
        <v>64</v>
      </c>
      <c r="U5" s="86" t="s">
        <v>65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IF(ISOVERMAX(L7:U7),"INVALID MARK",IF(COUNT(L7:U7)=COUNT(L$6:U$6),IFERROR(H7*K$6,),IF(COUNT(L7:U7)&lt;COUNT(L$6:U$6),"MISSING MARK","INVALID ENTRY")))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IF(ISOVERMAX(L8:U8),"INVALID MARK",IF(COUNT(L8:U8)=COUNT(L$6:U$6),IFERROR(H8*K$6,),IF(COUNT(L8:U8)&lt;COUNT(L$6:U$6),"MISSING MARK","INVALID ENTRY")))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IF(ISOVERMAX(L9:U9),"INVALID MARK",IF(COUNT(L9:U9)=COUNT(L$6:U$6),IFERROR(H9*K$6,),IF(COUNT(L9:U9)&lt;COUNT(L$6:U$6),"MISSING MARK","INVALID ENTRY")))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IF(ISOVERMAX(L10:U10),"INVALID MARK",IF(COUNT(L10:U10)=COUNT(L$6:U$6),IFERROR(H10*K$6,),IF(COUNT(L10:U10)&lt;COUNT(L$6:U$6),"MISSING MARK","INVALID ENTRY")))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IF(ISOVERMAX(L11:U11),"INVALID MARK",IF(COUNT(L11:U11)=COUNT(L$6:U$6),IFERROR(H11*K$6,),IF(COUNT(L11:U11)&lt;COUNT(L$6:U$6),"MISSING MARK","INVALID ENTRY")))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IF(ISOVERMAX(L12:U12),"INVALID MARK",IF(COUNT(L12:U12)=COUNT(L$6:U$6),IFERROR(H12*K$6,),IF(COUNT(L12:U12)&lt;COUNT(L$6:U$6),"MISSING MARK","INVALID ENTRY")))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IF(ISOVERMAX(L13:U13),"INVALID MARK",IF(COUNT(L13:U13)=COUNT(L$6:U$6),IFERROR(H13*K$6,),IF(COUNT(L13:U13)&lt;COUNT(L$6:U$6),"MISSING MARK","INVALID ENTRY")))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IF(ISOVERMAX(L14:U14),"INVALID MARK",IF(COUNT(L14:U14)=COUNT(L$6:U$6),IFERROR(H14*K$6,),IF(COUNT(L14:U14)&lt;COUNT(L$6:U$6),"MISSING MARK","INVALID ENTRY")))</f>
        <v>31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IF(ISOVERMAX(L15:U15),"INVALID MARK",IF(COUNT(L15:U15)=COUNT(L$6:U$6),IFERROR(H15*K$6,),IF(COUNT(L15:U15)&lt;COUNT(L$6:U$6),"MISSING MARK","INVALID ENTRY")))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IF(ISOVERMAX(L16:U16),"INVALID MARK",IF(COUNT(L16:U16)=COUNT(L$6:U$6),IFERROR(H16*K$6,),IF(COUNT(L16:U16)&lt;COUNT(L$6:U$6),"MISSING MARK","INVALID ENTRY")))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IF(ISOVERMAX(L17:U17),"INVALID MARK",IF(COUNT(L17:U17)=COUNT(L$6:U$6),IFERROR(H17*K$6,),IF(COUNT(L17:U17)&lt;COUNT(L$6:U$6),"MISSING MARK","INVALID ENTRY")))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</sheetData>
  <mergeCells count="1">
    <mergeCell ref="F4:G4"/>
  </mergeCells>
  <conditionalFormatting sqref="I7">
    <cfRule type="containsText" dxfId="90" priority="38" operator="containsText" text="INVALID MARK">
      <formula>NOT(ISERROR(SEARCH("INVALID MARK",I7)))</formula>
    </cfRule>
    <cfRule type="containsText" dxfId="89" priority="39" operator="containsText" text="INVALID ENTRY">
      <formula>NOT(ISERROR(SEARCH("INVALID ENTRY",I7)))</formula>
    </cfRule>
    <cfRule type="containsText" dxfId="88" priority="40" operator="containsText" text="MISSING MARK">
      <formula>NOT(ISERROR(SEARCH("MISSING MARK",I7)))</formula>
    </cfRule>
  </conditionalFormatting>
  <conditionalFormatting sqref="D7">
    <cfRule type="containsText" dxfId="87" priority="36" operator="containsText" text="FAIL">
      <formula>NOT(ISERROR(SEARCH("FAIL",D7)))</formula>
    </cfRule>
    <cfRule type="containsText" dxfId="86" priority="37" operator="containsText" text="PASS">
      <formula>NOT(ISERROR(SEARCH("PASS",D7)))</formula>
    </cfRule>
  </conditionalFormatting>
  <conditionalFormatting sqref="I8:I10">
    <cfRule type="containsText" dxfId="85" priority="33" operator="containsText" text="INVALID MARK">
      <formula>NOT(ISERROR(SEARCH("INVALID MARK",I8)))</formula>
    </cfRule>
    <cfRule type="containsText" dxfId="84" priority="34" operator="containsText" text="INVALID ENTRY">
      <formula>NOT(ISERROR(SEARCH("INVALID ENTRY",I8)))</formula>
    </cfRule>
    <cfRule type="containsText" dxfId="83" priority="35" operator="containsText" text="MISSING MARK">
      <formula>NOT(ISERROR(SEARCH("MISSING MARK",I8)))</formula>
    </cfRule>
  </conditionalFormatting>
  <conditionalFormatting sqref="D8:D10">
    <cfRule type="containsText" dxfId="82" priority="31" operator="containsText" text="FAIL">
      <formula>NOT(ISERROR(SEARCH("FAIL",D8)))</formula>
    </cfRule>
    <cfRule type="containsText" dxfId="81" priority="32" operator="containsText" text="PASS">
      <formula>NOT(ISERROR(SEARCH("PASS",D8)))</formula>
    </cfRule>
  </conditionalFormatting>
  <conditionalFormatting sqref="I11:I15">
    <cfRule type="containsText" dxfId="80" priority="28" operator="containsText" text="INVALID MARK">
      <formula>NOT(ISERROR(SEARCH("INVALID MARK",I11)))</formula>
    </cfRule>
    <cfRule type="containsText" dxfId="79" priority="29" operator="containsText" text="INVALID ENTRY">
      <formula>NOT(ISERROR(SEARCH("INVALID ENTRY",I11)))</formula>
    </cfRule>
    <cfRule type="containsText" dxfId="78" priority="30" operator="containsText" text="MISSING MARK">
      <formula>NOT(ISERROR(SEARCH("MISSING MARK",I11)))</formula>
    </cfRule>
  </conditionalFormatting>
  <conditionalFormatting sqref="D11:D15">
    <cfRule type="containsText" dxfId="77" priority="26" operator="containsText" text="FAIL">
      <formula>NOT(ISERROR(SEARCH("FAIL",D11)))</formula>
    </cfRule>
    <cfRule type="containsText" dxfId="76" priority="27" operator="containsText" text="PASS">
      <formula>NOT(ISERROR(SEARCH("PASS",D11)))</formula>
    </cfRule>
  </conditionalFormatting>
  <conditionalFormatting sqref="I16">
    <cfRule type="containsText" dxfId="75" priority="23" operator="containsText" text="INVALID MARK">
      <formula>NOT(ISERROR(SEARCH("INVALID MARK",I16)))</formula>
    </cfRule>
    <cfRule type="containsText" dxfId="74" priority="24" operator="containsText" text="INVALID ENTRY">
      <formula>NOT(ISERROR(SEARCH("INVALID ENTRY",I16)))</formula>
    </cfRule>
    <cfRule type="containsText" dxfId="73" priority="25" operator="containsText" text="MISSING MARK">
      <formula>NOT(ISERROR(SEARCH("MISSING MARK",I16)))</formula>
    </cfRule>
  </conditionalFormatting>
  <conditionalFormatting sqref="D16">
    <cfRule type="containsText" dxfId="72" priority="21" operator="containsText" text="FAIL">
      <formula>NOT(ISERROR(SEARCH("FAIL",D16)))</formula>
    </cfRule>
    <cfRule type="containsText" dxfId="71" priority="22" operator="containsText" text="PASS">
      <formula>NOT(ISERROR(SEARCH("PASS",D16)))</formula>
    </cfRule>
  </conditionalFormatting>
  <conditionalFormatting sqref="I17">
    <cfRule type="containsText" dxfId="10" priority="3" operator="containsText" text="INVALID MARK">
      <formula>NOT(ISERROR(SEARCH("INVALID MARK",I17)))</formula>
    </cfRule>
    <cfRule type="containsText" dxfId="9" priority="4" operator="containsText" text="INVALID ENTRY">
      <formula>NOT(ISERROR(SEARCH("INVALID ENTRY",I17)))</formula>
    </cfRule>
    <cfRule type="containsText" dxfId="8" priority="5" operator="containsText" text="MISSING MARK">
      <formula>NOT(ISERROR(SEARCH("MISSING MARK",I17)))</formula>
    </cfRule>
  </conditionalFormatting>
  <conditionalFormatting sqref="D17">
    <cfRule type="containsText" dxfId="7" priority="1" operator="containsText" text="FAIL">
      <formula>NOT(ISERROR(SEARCH("FAIL",D17)))</formula>
    </cfRule>
    <cfRule type="containsText" dxfId="6" priority="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L22" sqref="L22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44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31"/>
      <c r="G4" s="131"/>
      <c r="H4" s="4"/>
      <c r="I4" s="19"/>
      <c r="J4" s="8"/>
      <c r="K4" s="95" t="s">
        <v>73</v>
      </c>
      <c r="L4" s="92" t="s">
        <v>74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56</v>
      </c>
      <c r="M5" s="87" t="s">
        <v>57</v>
      </c>
      <c r="N5" s="87" t="s">
        <v>58</v>
      </c>
      <c r="O5" s="87" t="s">
        <v>59</v>
      </c>
      <c r="P5" s="87" t="s">
        <v>60</v>
      </c>
      <c r="Q5" s="87" t="s">
        <v>61</v>
      </c>
      <c r="R5" s="87" t="s">
        <v>62</v>
      </c>
      <c r="S5" s="87" t="s">
        <v>63</v>
      </c>
      <c r="T5" s="87" t="s">
        <v>64</v>
      </c>
      <c r="U5" s="87" t="s">
        <v>65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IF(ISOVERMAX(L7:U7),"INVALID MARK", IF(COUNT(L7:U7)=COUNT(L$6:U$6), IFERROR(H7*K$6,), IF(COUNT(L7:U7)&lt;COUNT(L$6:U$6),"MISSING MARK","INVALID ENTRY")))</f>
        <v>72.5</v>
      </c>
      <c r="J7" s="28">
        <v>0</v>
      </c>
      <c r="K7" s="24">
        <f t="shared" ref="K7" si="2">SUM(L7:O7)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IF(ISOVERMAX(L8:U8),"INVALID MARK", IF(COUNT(L8:U8)=COUNT(L$6:U$6), IFERROR(H8*K$6,), IF(COUNT(L8:U8)&lt;COUNT(L$6:U$6),"MISSING MARK","INVALID ENTRY")))</f>
        <v>87</v>
      </c>
      <c r="J8" s="28">
        <v>0</v>
      </c>
      <c r="K8" s="24">
        <f t="shared" ref="K8:K10" si="4">SUM(L8:O8)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3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IF(ISOVERMAX(L9:U9),"INVALID MARK", IF(COUNT(L9:U9)=COUNT(L$6:U$6), IFERROR(H9*K$6,), IF(COUNT(L9:U9)&lt;COUNT(L$6:U$6),"MISSING MARK","INVALID ENTRY")))</f>
        <v>45</v>
      </c>
      <c r="J9" s="28">
        <v>0</v>
      </c>
      <c r="K9" s="24">
        <f t="shared" si="4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IF(ISOVERMAX(L10:U10),"INVALID MARK", IF(COUNT(L10:U10)=COUNT(L$6:U$6), IFERROR(H10*K$6,), IF(COUNT(L10:U10)&lt;COUNT(L$6:U$6),"MISSING MARK","INVALID ENTRY")))</f>
        <v>53</v>
      </c>
      <c r="J10" s="28">
        <v>0</v>
      </c>
      <c r="K10" s="24">
        <f t="shared" si="4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5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IF(ISOVERMAX(L11:U11),"INVALID MARK", IF(COUNT(L11:U11)=COUNT(L$6:U$6), IFERROR(H11*K$6,), IF(COUNT(L11:U11)&lt;COUNT(L$6:U$6),"MISSING MARK","INVALID ENTRY")))</f>
        <v>41</v>
      </c>
      <c r="J11" s="28">
        <v>0</v>
      </c>
      <c r="K11" s="24">
        <f t="shared" ref="K11:K15" si="6">SUM(L11:O11)</f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5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IF(ISOVERMAX(L12:U12),"INVALID MARK", IF(COUNT(L12:U12)=COUNT(L$6:U$6), IFERROR(H12*K$6,), IF(COUNT(L12:U12)&lt;COUNT(L$6:U$6),"MISSING MARK","INVALID ENTRY")))</f>
        <v>65</v>
      </c>
      <c r="J12" s="28">
        <v>0</v>
      </c>
      <c r="K12" s="24">
        <f t="shared" si="6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5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7">IF(K13/K$6-J13&gt;=0, K13/K$6-J13, 0)</f>
        <v>0.57999999999999996</v>
      </c>
      <c r="I13" s="20">
        <f>IF(ISOVERMAX(L13:U13),"INVALID MARK", IF(COUNT(L13:U13)=COUNT(L$6:U$6), IFERROR(H13*K$6,), IF(COUNT(L13:U13)&lt;COUNT(L$6:U$6),"MISSING MARK","INVALID ENTRY")))</f>
        <v>57.999999999999993</v>
      </c>
      <c r="J13" s="28">
        <v>0</v>
      </c>
      <c r="K13" s="24">
        <f t="shared" si="6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5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0.69</v>
      </c>
      <c r="I14" s="20">
        <f>IF(ISOVERMAX(L14:U14),"INVALID MARK", IF(COUNT(L14:U14)=COUNT(L$6:U$6), IFERROR(H14*K$6,), IF(COUNT(L14:U14)&lt;COUNT(L$6:U$6),"MISSING MARK","INVALID ENTRY")))</f>
        <v>69</v>
      </c>
      <c r="J14" s="28">
        <v>0</v>
      </c>
      <c r="K14" s="24">
        <f t="shared" si="6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5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0.80500000000000005</v>
      </c>
      <c r="I15" s="20">
        <f>IF(ISOVERMAX(L15:U15),"INVALID MARK", IF(COUNT(L15:U15)=COUNT(L$6:U$6), IFERROR(H15*K$6,), IF(COUNT(L15:U15)&lt;COUNT(L$6:U$6),"MISSING MARK","INVALID ENTRY")))</f>
        <v>80.5</v>
      </c>
      <c r="J15" s="28">
        <v>0</v>
      </c>
      <c r="K15" s="24">
        <f t="shared" si="6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8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7"/>
        <v>0.77</v>
      </c>
      <c r="I16" s="20">
        <f>IF(ISOVERMAX(L16:U16),"INVALID MARK", IF(COUNT(L16:U16)=COUNT(L$6:U$6), IFERROR(H16*K$6,), IF(COUNT(L16:U16)&lt;COUNT(L$6:U$6),"MISSING MARK","INVALID ENTRY")))</f>
        <v>77</v>
      </c>
      <c r="J16" s="28">
        <v>0</v>
      </c>
      <c r="K16" s="24">
        <f t="shared" ref="K16" si="9">SUM(L16:O16)</f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0.69</v>
      </c>
      <c r="I17" s="20">
        <f>IF(ISOVERMAX(L17:U17),"INVALID MARK", IF(COUNT(L17:U17)=COUNT(L$6:U$6), IFERROR(H17*K$6,), IF(COUNT(L17:U17)&lt;COUNT(L$6:U$6),"MISSING MARK","INVALID ENTRY")))</f>
        <v>69</v>
      </c>
      <c r="J17" s="28">
        <v>0</v>
      </c>
      <c r="K17" s="24">
        <f t="shared" ref="K17" si="12">SUM(L17:O17)</f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">
    <cfRule type="containsText" dxfId="70" priority="282" operator="containsText" text="INVALID MARK">
      <formula>NOT(ISERROR(SEARCH("INVALID MARK",I7)))</formula>
    </cfRule>
    <cfRule type="containsText" dxfId="69" priority="283" operator="containsText" text="INVALID ENTRY">
      <formula>NOT(ISERROR(SEARCH("INVALID ENTRY",I7)))</formula>
    </cfRule>
    <cfRule type="containsText" dxfId="68" priority="284" operator="containsText" text="MISSING MARK">
      <formula>NOT(ISERROR(SEARCH("MISSING MARK",I7)))</formula>
    </cfRule>
  </conditionalFormatting>
  <conditionalFormatting sqref="D7">
    <cfRule type="containsText" dxfId="67" priority="55" operator="containsText" text="FAIL">
      <formula>NOT(ISERROR(SEARCH("FAIL",D7)))</formula>
    </cfRule>
    <cfRule type="containsText" dxfId="66" priority="56" operator="containsText" text="PASS">
      <formula>NOT(ISERROR(SEARCH("PASS",D7)))</formula>
    </cfRule>
  </conditionalFormatting>
  <conditionalFormatting sqref="I8:I10">
    <cfRule type="containsText" dxfId="65" priority="40" operator="containsText" text="INVALID MARK">
      <formula>NOT(ISERROR(SEARCH("INVALID MARK",I8)))</formula>
    </cfRule>
    <cfRule type="containsText" dxfId="64" priority="41" operator="containsText" text="INVALID ENTRY">
      <formula>NOT(ISERROR(SEARCH("INVALID ENTRY",I8)))</formula>
    </cfRule>
    <cfRule type="containsText" dxfId="63" priority="42" operator="containsText" text="MISSING MARK">
      <formula>NOT(ISERROR(SEARCH("MISSING MARK",I8)))</formula>
    </cfRule>
  </conditionalFormatting>
  <conditionalFormatting sqref="D8:D10">
    <cfRule type="containsText" dxfId="62" priority="37" operator="containsText" text="FAIL">
      <formula>NOT(ISERROR(SEARCH("FAIL",D8)))</formula>
    </cfRule>
    <cfRule type="containsText" dxfId="61" priority="38" operator="containsText" text="PASS">
      <formula>NOT(ISERROR(SEARCH("PASS",D8)))</formula>
    </cfRule>
  </conditionalFormatting>
  <conditionalFormatting sqref="I11:I15">
    <cfRule type="containsText" dxfId="60" priority="34" operator="containsText" text="INVALID MARK">
      <formula>NOT(ISERROR(SEARCH("INVALID MARK",I11)))</formula>
    </cfRule>
    <cfRule type="containsText" dxfId="59" priority="35" operator="containsText" text="INVALID ENTRY">
      <formula>NOT(ISERROR(SEARCH("INVALID ENTRY",I11)))</formula>
    </cfRule>
    <cfRule type="containsText" dxfId="58" priority="36" operator="containsText" text="MISSING MARK">
      <formula>NOT(ISERROR(SEARCH("MISSING MARK",I11)))</formula>
    </cfRule>
  </conditionalFormatting>
  <conditionalFormatting sqref="H7:H16">
    <cfRule type="containsText" dxfId="57" priority="33" operator="containsText" text="INVALID MARK">
      <formula>NOT(ISERROR(SEARCH("INVALID MARK",H7)))</formula>
    </cfRule>
  </conditionalFormatting>
  <conditionalFormatting sqref="D11:D15">
    <cfRule type="containsText" dxfId="56" priority="31" operator="containsText" text="FAIL">
      <formula>NOT(ISERROR(SEARCH("FAIL",D11)))</formula>
    </cfRule>
    <cfRule type="containsText" dxfId="55" priority="32" operator="containsText" text="PASS">
      <formula>NOT(ISERROR(SEARCH("PASS",D11)))</formula>
    </cfRule>
  </conditionalFormatting>
  <conditionalFormatting sqref="I16">
    <cfRule type="containsText" dxfId="54" priority="28" operator="containsText" text="INVALID MARK">
      <formula>NOT(ISERROR(SEARCH("INVALID MARK",I16)))</formula>
    </cfRule>
    <cfRule type="containsText" dxfId="53" priority="29" operator="containsText" text="INVALID ENTRY">
      <formula>NOT(ISERROR(SEARCH("INVALID ENTRY",I16)))</formula>
    </cfRule>
    <cfRule type="containsText" dxfId="52" priority="30" operator="containsText" text="MISSING MARK">
      <formula>NOT(ISERROR(SEARCH("MISSING MARK",I16)))</formula>
    </cfRule>
  </conditionalFormatting>
  <conditionalFormatting sqref="D16">
    <cfRule type="containsText" dxfId="51" priority="25" operator="containsText" text="FAIL">
      <formula>NOT(ISERROR(SEARCH("FAIL",D16)))</formula>
    </cfRule>
    <cfRule type="containsText" dxfId="50" priority="26" operator="containsText" text="PASS">
      <formula>NOT(ISERROR(SEARCH("PASS",D16)))</formula>
    </cfRule>
  </conditionalFormatting>
  <conditionalFormatting sqref="H17">
    <cfRule type="containsText" dxfId="5" priority="6" operator="containsText" text="INVALID MARK">
      <formula>NOT(ISERROR(SEARCH("INVALID MARK",H17)))</formula>
    </cfRule>
  </conditionalFormatting>
  <conditionalFormatting sqref="I17">
    <cfRule type="containsText" dxfId="4" priority="3" operator="containsText" text="INVALID MARK">
      <formula>NOT(ISERROR(SEARCH("INVALID MARK",I17)))</formula>
    </cfRule>
    <cfRule type="containsText" dxfId="3" priority="4" operator="containsText" text="INVALID ENTRY">
      <formula>NOT(ISERROR(SEARCH("INVALID ENTRY",I17)))</formula>
    </cfRule>
    <cfRule type="containsText" dxfId="2" priority="5" operator="containsText" text="MISSING MARK">
      <formula>NOT(ISERROR(SEARCH("MISSING MARK",I17)))</formula>
    </cfRule>
  </conditionalFormatting>
  <conditionalFormatting sqref="D17">
    <cfRule type="containsText" dxfId="1" priority="1" operator="containsText" text="FAIL">
      <formula>NOT(ISERROR(SEARCH("FAIL",D17)))</formula>
    </cfRule>
    <cfRule type="containsText" dxfId="0" priority="2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2020-09-21T09:30:09Z</dcterms:modified>
</cp:coreProperties>
</file>