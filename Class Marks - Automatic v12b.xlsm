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Sheet1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I15" i="56"/>
  <c r="I13" i="55"/>
  <c r="I14" i="54"/>
  <c r="M6" i="1" l="1"/>
  <c r="M4" i="1"/>
  <c r="M13" i="1"/>
  <c r="M7" i="1"/>
  <c r="M5" i="1"/>
  <c r="M8" i="1"/>
  <c r="M9" i="1"/>
  <c r="M12" i="1"/>
  <c r="M10" i="1"/>
  <c r="M11" i="1"/>
  <c r="K8" i="52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H17" i="58"/>
  <c r="H15" i="56"/>
  <c r="D15" i="56" s="1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3" i="58"/>
  <c r="I10" i="58"/>
  <c r="I16" i="58"/>
  <c r="I15" i="58"/>
  <c r="I11" i="58"/>
  <c r="I9" i="58"/>
  <c r="I8" i="58"/>
  <c r="I12" i="58"/>
  <c r="I7" i="58"/>
  <c r="I14" i="58"/>
  <c r="I13" i="56"/>
  <c r="I9" i="56"/>
  <c r="I16" i="56"/>
  <c r="I14" i="56"/>
  <c r="I8" i="56"/>
  <c r="I11" i="56"/>
  <c r="I12" i="56"/>
  <c r="I7" i="56"/>
  <c r="I10" i="56"/>
  <c r="I12" i="55"/>
  <c r="I15" i="55"/>
  <c r="I14" i="55"/>
  <c r="I8" i="55"/>
  <c r="I16" i="55"/>
  <c r="I10" i="55"/>
  <c r="I11" i="55"/>
  <c r="I7" i="55"/>
  <c r="I9" i="55"/>
  <c r="D17" i="56" l="1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I9" i="54"/>
  <c r="I8" i="54"/>
  <c r="I16" i="54"/>
  <c r="I10" i="54"/>
  <c r="I7" i="54"/>
  <c r="I15" i="54"/>
  <c r="I11" i="54"/>
  <c r="I13" i="54"/>
  <c r="I12" i="54"/>
  <c r="D14" i="54" l="1"/>
  <c r="D16" i="54"/>
  <c r="D17" i="54"/>
  <c r="D7" i="54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I13" i="52"/>
  <c r="I15" i="52"/>
  <c r="I9" i="52"/>
  <c r="I16" i="52"/>
  <c r="I7" i="52"/>
  <c r="I14" i="52"/>
  <c r="I11" i="52"/>
  <c r="I8" i="52"/>
  <c r="I10" i="52"/>
  <c r="I12" i="52"/>
  <c r="K31" i="1" l="1"/>
  <c r="K33" i="1"/>
  <c r="K32" i="1"/>
  <c r="K29" i="1"/>
  <c r="K30" i="1"/>
  <c r="D11" i="52"/>
  <c r="D9" i="52"/>
  <c r="K34" i="1"/>
  <c r="K28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3" i="1" l="1"/>
  <c r="M30" i="1"/>
  <c r="M31" i="1"/>
  <c r="M29" i="1"/>
  <c r="M32" i="1"/>
  <c r="M28" i="1"/>
  <c r="M34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6" i="1" l="1"/>
  <c r="O35" i="1"/>
  <c r="P37" i="1"/>
  <c r="Q35" i="1"/>
  <c r="N37" i="1"/>
  <c r="O37" i="1" l="1"/>
  <c r="N35" i="1" l="1"/>
  <c r="Q37" i="1" l="1"/>
  <c r="M37" i="1" s="1"/>
  <c r="L37" i="1" s="1"/>
  <c r="N36" i="1"/>
  <c r="Q36" i="1" l="1"/>
  <c r="O36" i="1"/>
  <c r="P35" i="1"/>
  <c r="M35" i="1" s="1"/>
  <c r="L35" i="1" s="1"/>
  <c r="I17" i="54"/>
  <c r="I17" i="56"/>
  <c r="I17" i="55"/>
  <c r="I17" i="58"/>
  <c r="M36" i="1" l="1"/>
  <c r="L36" i="1" s="1"/>
  <c r="Q38" i="1"/>
  <c r="O38" i="1"/>
  <c r="P38" i="1"/>
  <c r="N38" i="1"/>
  <c r="K37" i="1"/>
  <c r="M38" i="1" l="1"/>
  <c r="L38" i="1" s="1"/>
  <c r="J37" i="1"/>
  <c r="G37" i="1" s="1"/>
  <c r="K36" i="1"/>
  <c r="I17" i="52"/>
  <c r="H37" i="1" l="1"/>
  <c r="J36" i="1"/>
  <c r="H36" i="1" s="1"/>
  <c r="K38" i="1"/>
  <c r="G36" i="1" l="1"/>
  <c r="J38" i="1"/>
  <c r="H38" i="1" s="1"/>
  <c r="K35" i="1"/>
  <c r="G38" i="1" l="1"/>
  <c r="J35" i="1"/>
  <c r="H35" i="1" l="1"/>
  <c r="M19" i="1"/>
  <c r="M18" i="1"/>
  <c r="M17" i="1"/>
  <c r="G35" i="1"/>
  <c r="M16" i="1" s="1"/>
  <c r="M15" i="1" l="1"/>
  <c r="M14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<sst xmlns="http://schemas.openxmlformats.org/spreadsheetml/2006/main" count="201" uniqueCount="105">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</sst>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4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46152"/>
      <color rgb="FFF3EB4B"/>
      <color rgb="FFDFEB4B"/>
      <color rgb="FFDFF34B"/>
      <color rgb="FFEBF34B"/>
      <color rgb="FFABF34B"/>
      <color rgb="FF8DF34B"/>
      <color rgb="FFF7D470"/>
      <color rgb="FFF36B4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zoomScaleNormal="100" workbookViewId="0">
      <selection activeCell="D17" sqref="D17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6" t="s">
        <v>67</v>
      </c>
      <c r="G3" s="117"/>
      <c r="H3" s="117"/>
      <c r="I3" s="118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9"/>
      <c r="G4" s="120"/>
      <c r="H4" s="120"/>
      <c r="I4" s="121"/>
      <c r="J4" s="37"/>
      <c r="K4" s="53" t="s">
        <v>16</v>
      </c>
      <c r="L4" s="48" t="s">
        <v>104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9"/>
      <c r="G5" s="120"/>
      <c r="H5" s="120"/>
      <c r="I5" s="121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9"/>
      <c r="G6" s="120"/>
      <c r="H6" s="120"/>
      <c r="I6" s="121"/>
      <c r="J6" s="37"/>
      <c r="K6" s="55" t="s">
        <v>18</v>
      </c>
      <c r="L6" s="49" t="s">
        <v>33</v>
      </c>
      <c r="M6" s="59">
        <f>COUNTIF(I$28:I$38, "="&amp;L6)</f>
        <v>1</v>
      </c>
    </row>
    <row r="7" spans="3:13" ht="15.75" thickBot="1" x14ac:dyDescent="0.3">
      <c r="C7" s="40" t="s">
        <v>51</v>
      </c>
      <c r="D7" s="90">
        <v>11</v>
      </c>
      <c r="F7" s="113" t="s">
        <v>65</v>
      </c>
      <c r="G7" s="114"/>
      <c r="H7" s="114"/>
      <c r="I7" s="115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10" t="s">
        <v>66</v>
      </c>
      <c r="G8" s="111"/>
      <c r="H8" s="111"/>
      <c r="I8" s="112"/>
      <c r="J8" s="35"/>
      <c r="K8" s="55" t="s">
        <v>20</v>
      </c>
      <c r="L8" s="49" t="s">
        <v>37</v>
      </c>
      <c r="M8" s="59">
        <f>COUNTIF(I$28:I$38, "="&amp;L8)</f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3</v>
      </c>
    </row>
    <row r="10" spans="3:13" x14ac:dyDescent="0.25">
      <c r="C10" s="38" t="s">
        <v>48</v>
      </c>
      <c r="D10" s="39">
        <v>0.5</v>
      </c>
      <c r="F10" s="122" t="s">
        <v>68</v>
      </c>
      <c r="G10" s="123"/>
      <c r="H10" s="123"/>
      <c r="I10" s="124"/>
      <c r="J10" s="35"/>
      <c r="K10" s="56" t="s">
        <v>22</v>
      </c>
      <c r="L10" s="50" t="s">
        <v>32</v>
      </c>
      <c r="M10" s="59">
        <f>COUNTIF(I$28:I$38, "="&amp;L10)</f>
        <v>1</v>
      </c>
    </row>
    <row r="11" spans="3:13" x14ac:dyDescent="0.25">
      <c r="C11" s="42" t="s">
        <v>46</v>
      </c>
      <c r="D11" s="43">
        <v>0.4</v>
      </c>
      <c r="F11" s="113" t="s">
        <v>69</v>
      </c>
      <c r="G11" s="114"/>
      <c r="H11" s="114"/>
      <c r="I11" s="115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13" t="s">
        <v>71</v>
      </c>
      <c r="G12" s="114"/>
      <c r="H12" s="114"/>
      <c r="I12" s="115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10" t="s">
        <v>70</v>
      </c>
      <c r="G13" s="111"/>
      <c r="H13" s="111"/>
      <c r="I13" s="112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06" t="s">
        <v>28</v>
      </c>
      <c r="L14" s="107"/>
      <c r="M14" s="60">
        <f>COUNTIF(H28:H38, "=FAIL")</f>
        <v>3</v>
      </c>
    </row>
    <row r="15" spans="3:13" x14ac:dyDescent="0.25">
      <c r="J15" s="35"/>
      <c r="K15" s="108" t="s">
        <v>27</v>
      </c>
      <c r="L15" s="109"/>
      <c r="M15" s="59">
        <f>COUNTIF(H28:H38, "=PASS")</f>
        <v>8</v>
      </c>
    </row>
    <row r="16" spans="3:13" x14ac:dyDescent="0.25">
      <c r="J16" s="35"/>
      <c r="K16" s="108" t="s">
        <v>39</v>
      </c>
      <c r="L16" s="109"/>
      <c r="M16" s="59">
        <f>COUNTIF(G28:G38, "=WRITE SUPP")</f>
        <v>2</v>
      </c>
    </row>
    <row r="17" spans="1:17" x14ac:dyDescent="0.25">
      <c r="J17" s="35"/>
      <c r="K17" s="108" t="s">
        <v>40</v>
      </c>
      <c r="L17" s="109"/>
      <c r="M17" s="61">
        <f>MAX(J28:J38)-MIN(J28:J38)</f>
        <v>0.49799999999999989</v>
      </c>
    </row>
    <row r="18" spans="1:17" x14ac:dyDescent="0.25">
      <c r="J18" s="35"/>
      <c r="K18" s="108" t="s">
        <v>41</v>
      </c>
      <c r="L18" s="109"/>
      <c r="M18" s="61">
        <f>AVERAGE(J28:J38)</f>
        <v>0.61180165289256194</v>
      </c>
    </row>
    <row r="19" spans="1:17" ht="15.75" thickBot="1" x14ac:dyDescent="0.3">
      <c r="J19" s="35"/>
      <c r="K19" s="104" t="s">
        <v>42</v>
      </c>
      <c r="L19" s="105"/>
      <c r="M19" s="62">
        <f>STDEV(J28:J38)</f>
        <v>0.13296972760671752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8" si="1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76</v>
      </c>
      <c r="E28" s="96" t="s">
        <v>89</v>
      </c>
      <c r="F28" s="88" t="s">
        <v>78</v>
      </c>
      <c r="G28" s="74" t="str">
        <f t="shared" ref="G28:G38" si="2">IF(AND(K28&gt;=D$13, J28&gt;=D$11), IF(OR(K28&lt;D$12, J28&lt;D$10), "WRITE SUPP", "NO SUPP"), "NO SUPP")</f>
        <v>NO SUPP</v>
      </c>
      <c r="H28" s="74" t="str">
        <f t="shared" ref="H28:H38" si="3">IF(K28&gt;=D$12, IF(J28&gt;=D$10, "PASS", "FAIL"), "FAIL")</f>
        <v>PASS</v>
      </c>
      <c r="I28" s="74" t="str">
        <f>STUDENT_GRADE(J28,K$4:K$13,L$4:L$13)</f>
        <v>B</v>
      </c>
      <c r="J28" s="89">
        <f t="shared" ref="J28:J38" si="4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5">M28/M$27</f>
        <v>0.66818181818181821</v>
      </c>
      <c r="M28" s="74">
        <f t="shared" si="1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79</v>
      </c>
      <c r="E29" s="96" t="s">
        <v>77</v>
      </c>
      <c r="F29" s="88" t="s">
        <v>81</v>
      </c>
      <c r="G29" s="74" t="str">
        <f t="shared" si="2"/>
        <v>NO SUPP</v>
      </c>
      <c r="H29" s="74" t="str">
        <f t="shared" si="3"/>
        <v>PASS</v>
      </c>
      <c r="I29" s="74" t="str">
        <f>STUDENT_GRADE(J29,K$4:K$13,L$4:L$13)</f>
        <v>A+</v>
      </c>
      <c r="J29" s="89">
        <f t="shared" si="4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5"/>
        <v>0.8954545454545455</v>
      </c>
      <c r="M29" s="74">
        <f t="shared" si="1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80</v>
      </c>
      <c r="E30" s="101" t="s">
        <v>84</v>
      </c>
      <c r="F30" s="88" t="s">
        <v>82</v>
      </c>
      <c r="G30" s="74" t="str">
        <f t="shared" si="2"/>
        <v>NO SUPP</v>
      </c>
      <c r="H30" s="74" t="str">
        <f t="shared" si="3"/>
        <v>FAIL</v>
      </c>
      <c r="I30" s="74" t="str">
        <f>STUDENT_GRADE(J30,K$4:K$13,L$4:L$13)</f>
        <v>F</v>
      </c>
      <c r="J30" s="89">
        <f t="shared" si="4"/>
        <v>0.38727272727272732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5"/>
        <v>0.34545454545454546</v>
      </c>
      <c r="M30" s="74">
        <f t="shared" si="1"/>
        <v>38</v>
      </c>
      <c r="N30" s="75">
        <f>'Test 1'!I9</f>
        <v>4</v>
      </c>
      <c r="O30" s="75">
        <f>'Test 2'!I9</f>
        <v>9.0000000000000018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85</v>
      </c>
      <c r="E31" s="73" t="s">
        <v>86</v>
      </c>
      <c r="F31" s="88" t="s">
        <v>83</v>
      </c>
      <c r="G31" s="74" t="str">
        <f t="shared" si="2"/>
        <v>NO SUPP</v>
      </c>
      <c r="H31" s="74" t="str">
        <f t="shared" si="3"/>
        <v>PASS</v>
      </c>
      <c r="I31" s="74" t="str">
        <f>STUDENT_GRADE(J31,K$4:K$13,L$4:L$13)</f>
        <v>C</v>
      </c>
      <c r="J31" s="89">
        <f t="shared" si="4"/>
        <v>0.53927272727272724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5"/>
        <v>0.54545454545454541</v>
      </c>
      <c r="M31" s="74">
        <f t="shared" si="1"/>
        <v>60</v>
      </c>
      <c r="N31" s="75">
        <f>'Test 1'!I10</f>
        <v>5</v>
      </c>
      <c r="O31" s="75">
        <f>'Test 2'!I10</f>
        <v>13.999999999999998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3"/>
        <v>FAIL</v>
      </c>
      <c r="I32" s="74" t="str">
        <f>STUDENT_GRADE(J32,K$4:K$13,L$4:L$13)</f>
        <v>C+</v>
      </c>
      <c r="J32" s="89">
        <f t="shared" si="4"/>
        <v>0.5730909090909091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5"/>
        <v>0.68181818181818177</v>
      </c>
      <c r="M32" s="74">
        <f t="shared" si="1"/>
        <v>75</v>
      </c>
      <c r="N32" s="75">
        <f>'Test 1'!I11</f>
        <v>6</v>
      </c>
      <c r="O32" s="75">
        <f>'Test 2'!I11</f>
        <v>14.999999999999998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92</v>
      </c>
      <c r="E33" s="73" t="s">
        <v>91</v>
      </c>
      <c r="F33" s="88" t="s">
        <v>93</v>
      </c>
      <c r="G33" s="74" t="str">
        <f t="shared" si="2"/>
        <v>WRITE SUPP</v>
      </c>
      <c r="H33" s="74" t="str">
        <f t="shared" si="3"/>
        <v>FAIL</v>
      </c>
      <c r="I33" s="74" t="str">
        <f>STUDENT_GRADE(J33,K$4:K$13,L$4:L$13)</f>
        <v>C-</v>
      </c>
      <c r="J33" s="89">
        <f t="shared" si="4"/>
        <v>0.47272727272727277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5"/>
        <v>0.35454545454545455</v>
      </c>
      <c r="M33" s="74">
        <f t="shared" si="1"/>
        <v>39</v>
      </c>
      <c r="N33" s="75">
        <f>'Test 1'!I12</f>
        <v>3.0000000000000004</v>
      </c>
      <c r="O33" s="75">
        <f>'Test 2'!I12</f>
        <v>8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95</v>
      </c>
      <c r="E34" s="73" t="s">
        <v>94</v>
      </c>
      <c r="F34" s="88" t="s">
        <v>97</v>
      </c>
      <c r="G34" s="74" t="str">
        <f t="shared" si="2"/>
        <v>NO SUPP</v>
      </c>
      <c r="H34" s="74" t="str">
        <f t="shared" si="3"/>
        <v>PASS</v>
      </c>
      <c r="I34" s="74" t="str">
        <f>STUDENT_GRADE(J34,K$4:K$13,L$4:L$13)</f>
        <v>C+</v>
      </c>
      <c r="J34" s="89">
        <f t="shared" si="4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5"/>
        <v>0.59090909090909094</v>
      </c>
      <c r="M34" s="74">
        <f t="shared" si="1"/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95</v>
      </c>
      <c r="E35" s="73" t="s">
        <v>99</v>
      </c>
      <c r="F35" s="88" t="s">
        <v>98</v>
      </c>
      <c r="G35" s="74" t="str">
        <f t="shared" si="2"/>
        <v>NO SUPP</v>
      </c>
      <c r="H35" s="74" t="str">
        <f t="shared" si="3"/>
        <v>PASS</v>
      </c>
      <c r="I35" s="74" t="str">
        <f>STUDENT_GRADE(J35,K$4:K$13,L$4:L$13)</f>
        <v>C+</v>
      </c>
      <c r="J35" s="89">
        <f t="shared" si="4"/>
        <v>0.57327272727272727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5"/>
        <v>0.49545454545454548</v>
      </c>
      <c r="M35" s="74">
        <f t="shared" si="1"/>
        <v>54.5</v>
      </c>
      <c r="N35" s="75" t="str">
        <f>'Test 1'!I14</f>
        <v>INVALID MARK</v>
      </c>
      <c r="O35" s="75">
        <f>'Test 2'!I14</f>
        <v>15.499999999999998</v>
      </c>
      <c r="P35" s="75">
        <f>'Oral Assignment 1'!I14</f>
        <v>13</v>
      </c>
      <c r="Q35" s="75">
        <f>'Test 4'!I14</f>
        <v>26</v>
      </c>
    </row>
    <row r="36" spans="1:17" x14ac:dyDescent="0.25">
      <c r="A36" s="102"/>
      <c r="D36" s="73" t="s">
        <v>95</v>
      </c>
      <c r="E36" s="73" t="s">
        <v>96</v>
      </c>
      <c r="F36" s="88" t="s">
        <v>100</v>
      </c>
      <c r="G36" s="74" t="str">
        <f t="shared" si="2"/>
        <v>NO SUPP</v>
      </c>
      <c r="H36" s="74" t="str">
        <f t="shared" si="3"/>
        <v>PASS</v>
      </c>
      <c r="I36" s="74" t="str">
        <f>STUDENT_GRADE(J36,K$4:K$13,L$4:L$13)</f>
        <v>B</v>
      </c>
      <c r="J36" s="89">
        <f t="shared" si="4"/>
        <v>0.67654545454545456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5"/>
        <v>0.59090909090909094</v>
      </c>
      <c r="M36" s="74">
        <f t="shared" si="1"/>
        <v>65</v>
      </c>
      <c r="N36" s="75">
        <f>'Test 1'!I15</f>
        <v>9</v>
      </c>
      <c r="O36" s="75">
        <f>'Test 2'!I15</f>
        <v>11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96</v>
      </c>
      <c r="F37" s="88"/>
      <c r="G37" s="74" t="str">
        <f t="shared" si="2"/>
        <v>NO SUPP</v>
      </c>
      <c r="H37" s="74" t="str">
        <f t="shared" si="3"/>
        <v>PASS</v>
      </c>
      <c r="I37" s="74" t="str">
        <f>STUDENT_GRADE(J37,K$4:K$13,L$4:L$13)</f>
        <v>B+</v>
      </c>
      <c r="J37" s="89">
        <f t="shared" si="4"/>
        <v>0.72527272727272729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5"/>
        <v>0.69545454545454544</v>
      </c>
      <c r="M37" s="74">
        <f t="shared" si="1"/>
        <v>76.5</v>
      </c>
      <c r="N37" s="75">
        <f>'Test 1'!I16</f>
        <v>10</v>
      </c>
      <c r="O37" s="75">
        <f>'Test 2'!I16</f>
        <v>17.999999999999996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102</v>
      </c>
      <c r="E38" s="73" t="s">
        <v>101</v>
      </c>
      <c r="F38" s="88" t="s">
        <v>103</v>
      </c>
      <c r="G38" s="74" t="str">
        <f t="shared" si="2"/>
        <v>NO SUPP</v>
      </c>
      <c r="H38" s="74" t="str">
        <f t="shared" si="3"/>
        <v>PASS</v>
      </c>
      <c r="I38" s="74" t="str">
        <f>STUDENT_GRADE(J38,K$4:K$13,L$4:L$13)</f>
        <v>B-</v>
      </c>
      <c r="J38" s="89">
        <f t="shared" si="4"/>
        <v>0.61963636363636354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5"/>
        <v>0.57272727272727275</v>
      </c>
      <c r="M38" s="74">
        <f t="shared" si="1"/>
        <v>63</v>
      </c>
      <c r="N38" s="75">
        <f>'Test 1'!I17</f>
        <v>7</v>
      </c>
      <c r="O38" s="75">
        <f>'Test 2'!I17</f>
        <v>16.999999999999996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:I38">
    <cfRule type="cellIs" dxfId="153" priority="1194" operator="equal">
      <formula>$L$11</formula>
    </cfRule>
    <cfRule type="cellIs" dxfId="152" priority="1196" operator="equal">
      <formula>$L$9</formula>
    </cfRule>
    <cfRule type="cellIs" dxfId="151" priority="5356" operator="equal">
      <formula>$L$8</formula>
    </cfRule>
    <cfRule type="cellIs" dxfId="150" priority="5358" operator="equal">
      <formula>$L$6</formula>
    </cfRule>
    <cfRule type="cellIs" dxfId="149" priority="5359" operator="equal">
      <formula>$L$5</formula>
    </cfRule>
    <cfRule type="cellIs" dxfId="148" priority="5606" operator="equal">
      <formula>$L$4</formula>
    </cfRule>
  </conditionalFormatting>
  <conditionalFormatting sqref="G28">
    <cfRule type="containsText" dxfId="147" priority="5605" operator="containsText" text="WRITE SUPP">
      <formula>NOT(ISERROR(SEARCH("WRITE SUPP",G28)))</formula>
    </cfRule>
  </conditionalFormatting>
  <conditionalFormatting sqref="K28:K38">
    <cfRule type="containsText" dxfId="146" priority="2024" operator="containsText" text="MISSING MARK">
      <formula>NOT(ISERROR(SEARCH("MISSING MARK",K28)))</formula>
    </cfRule>
    <cfRule type="containsText" dxfId="145" priority="5601" operator="containsText" text="INVALID MARK">
      <formula>NOT(ISERROR(SEARCH("INVALID MARK",K28)))</formula>
    </cfRule>
    <cfRule type="cellIs" dxfId="144" priority="5608" operator="lessThan">
      <formula>$D$12</formula>
    </cfRule>
    <cfRule type="cellIs" priority="5609" operator="greaterThanOrEqual">
      <formula>$D$12</formula>
    </cfRule>
    <cfRule type="expression" dxfId="143" priority="5610">
      <formula>"&gt;=$D$10"</formula>
    </cfRule>
  </conditionalFormatting>
  <conditionalFormatting sqref="N28">
    <cfRule type="containsText" dxfId="142" priority="5602" operator="containsText" text="INVALID MARK">
      <formula>NOT(ISERROR(SEARCH("INVALID MARK",N28)))</formula>
    </cfRule>
    <cfRule type="containsText" dxfId="141" priority="5603" operator="containsText" text="INVALID ENTRY">
      <formula>NOT(ISERROR(SEARCH("INVALID ENTRY",N28)))</formula>
    </cfRule>
    <cfRule type="containsText" dxfId="140" priority="5604" operator="containsText" text="MISSING MARK">
      <formula>NOT(ISERROR(SEARCH("MISSING MARK",N28)))</formula>
    </cfRule>
  </conditionalFormatting>
  <conditionalFormatting sqref="H28">
    <cfRule type="containsText" dxfId="139" priority="5600" operator="containsText" text="FAIL">
      <formula>NOT(ISERROR(SEARCH("FAIL",H28)))</formula>
    </cfRule>
  </conditionalFormatting>
  <conditionalFormatting sqref="I28:I38">
    <cfRule type="cellIs" dxfId="138" priority="1192" operator="equal">
      <formula>$L$13</formula>
    </cfRule>
    <cfRule type="cellIs" dxfId="137" priority="1193" operator="equal">
      <formula>$L$12</formula>
    </cfRule>
    <cfRule type="cellIs" dxfId="136" priority="1195" operator="equal">
      <formula>$L$10</formula>
    </cfRule>
    <cfRule type="cellIs" dxfId="135" priority="5357" operator="equal">
      <formula>$L$7</formula>
    </cfRule>
  </conditionalFormatting>
  <conditionalFormatting sqref="G29:G31">
    <cfRule type="containsText" dxfId="134" priority="2164" operator="containsText" text="WRITE SUPP">
      <formula>NOT(ISERROR(SEARCH("WRITE SUPP",G29)))</formula>
    </cfRule>
  </conditionalFormatting>
  <conditionalFormatting sqref="J28:J37">
    <cfRule type="cellIs" dxfId="133" priority="2166" operator="lessThan">
      <formula>$D$10</formula>
    </cfRule>
  </conditionalFormatting>
  <conditionalFormatting sqref="N29:N31">
    <cfRule type="containsText" dxfId="132" priority="2161" operator="containsText" text="INVALID MARK">
      <formula>NOT(ISERROR(SEARCH("INVALID MARK",N29)))</formula>
    </cfRule>
    <cfRule type="containsText" dxfId="131" priority="2162" operator="containsText" text="INVALID ENTRY">
      <formula>NOT(ISERROR(SEARCH("INVALID ENTRY",N29)))</formula>
    </cfRule>
    <cfRule type="containsText" dxfId="130" priority="2163" operator="containsText" text="MISSING MARK">
      <formula>NOT(ISERROR(SEARCH("MISSING MARK",N29)))</formula>
    </cfRule>
  </conditionalFormatting>
  <conditionalFormatting sqref="H29:H31">
    <cfRule type="containsText" dxfId="129" priority="2159" operator="containsText" text="FAIL">
      <formula>NOT(ISERROR(SEARCH("FAIL",H29)))</formula>
    </cfRule>
  </conditionalFormatting>
  <conditionalFormatting sqref="O28">
    <cfRule type="containsText" dxfId="128" priority="2152" operator="containsText" text="INVALID MARK">
      <formula>NOT(ISERROR(SEARCH("INVALID MARK",O28)))</formula>
    </cfRule>
    <cfRule type="containsText" dxfId="127" priority="2153" operator="containsText" text="INVALID ENTRY">
      <formula>NOT(ISERROR(SEARCH("INVALID ENTRY",O28)))</formula>
    </cfRule>
    <cfRule type="containsText" dxfId="126" priority="2154" operator="containsText" text="MISSING MARK">
      <formula>NOT(ISERROR(SEARCH("MISSING MARK",O28)))</formula>
    </cfRule>
  </conditionalFormatting>
  <conditionalFormatting sqref="O29:O31">
    <cfRule type="containsText" dxfId="125" priority="2149" operator="containsText" text="INVALID MARK">
      <formula>NOT(ISERROR(SEARCH("INVALID MARK",O29)))</formula>
    </cfRule>
    <cfRule type="containsText" dxfId="124" priority="2150" operator="containsText" text="INVALID ENTRY">
      <formula>NOT(ISERROR(SEARCH("INVALID ENTRY",O29)))</formula>
    </cfRule>
    <cfRule type="containsText" dxfId="123" priority="2151" operator="containsText" text="MISSING MARK">
      <formula>NOT(ISERROR(SEARCH("MISSING MARK",O29)))</formula>
    </cfRule>
  </conditionalFormatting>
  <conditionalFormatting sqref="P28">
    <cfRule type="containsText" dxfId="122" priority="2146" operator="containsText" text="INVALID MARK">
      <formula>NOT(ISERROR(SEARCH("INVALID MARK",P28)))</formula>
    </cfRule>
    <cfRule type="containsText" dxfId="121" priority="2147" operator="containsText" text="INVALID ENTRY">
      <formula>NOT(ISERROR(SEARCH("INVALID ENTRY",P28)))</formula>
    </cfRule>
    <cfRule type="containsText" dxfId="120" priority="2148" operator="containsText" text="MISSING MARK">
      <formula>NOT(ISERROR(SEARCH("MISSING MARK",P28)))</formula>
    </cfRule>
  </conditionalFormatting>
  <conditionalFormatting sqref="P29:P31">
    <cfRule type="containsText" dxfId="119" priority="2143" operator="containsText" text="INVALID MARK">
      <formula>NOT(ISERROR(SEARCH("INVALID MARK",P29)))</formula>
    </cfRule>
    <cfRule type="containsText" dxfId="118" priority="2144" operator="containsText" text="INVALID ENTRY">
      <formula>NOT(ISERROR(SEARCH("INVALID ENTRY",P29)))</formula>
    </cfRule>
    <cfRule type="containsText" dxfId="117" priority="2145" operator="containsText" text="MISSING MARK">
      <formula>NOT(ISERROR(SEARCH("MISSING MARK",P29)))</formula>
    </cfRule>
  </conditionalFormatting>
  <conditionalFormatting sqref="Q28">
    <cfRule type="containsText" dxfId="116" priority="2134" operator="containsText" text="INVALID MARK">
      <formula>NOT(ISERROR(SEARCH("INVALID MARK",Q28)))</formula>
    </cfRule>
    <cfRule type="containsText" dxfId="115" priority="2135" operator="containsText" text="INVALID ENTRY">
      <formula>NOT(ISERROR(SEARCH("INVALID ENTRY",Q28)))</formula>
    </cfRule>
    <cfRule type="containsText" dxfId="114" priority="2136" operator="containsText" text="MISSING MARK">
      <formula>NOT(ISERROR(SEARCH("MISSING MARK",Q28)))</formula>
    </cfRule>
  </conditionalFormatting>
  <conditionalFormatting sqref="Q29:Q31">
    <cfRule type="containsText" dxfId="113" priority="2131" operator="containsText" text="INVALID MARK">
      <formula>NOT(ISERROR(SEARCH("INVALID MARK",Q29)))</formula>
    </cfRule>
    <cfRule type="containsText" dxfId="112" priority="2132" operator="containsText" text="INVALID ENTRY">
      <formula>NOT(ISERROR(SEARCH("INVALID ENTRY",Q29)))</formula>
    </cfRule>
    <cfRule type="containsText" dxfId="111" priority="2133" operator="containsText" text="MISSING MARK">
      <formula>NOT(ISERROR(SEARCH("MISSING MARK",Q29)))</formula>
    </cfRule>
  </conditionalFormatting>
  <conditionalFormatting sqref="G32:G36">
    <cfRule type="containsText" dxfId="110" priority="2125" operator="containsText" text="WRITE SUPP">
      <formula>NOT(ISERROR(SEARCH("WRITE SUPP",G32)))</formula>
    </cfRule>
  </conditionalFormatting>
  <conditionalFormatting sqref="N32:N36">
    <cfRule type="containsText" dxfId="109" priority="2122" operator="containsText" text="INVALID MARK">
      <formula>NOT(ISERROR(SEARCH("INVALID MARK",N32)))</formula>
    </cfRule>
    <cfRule type="containsText" dxfId="108" priority="2123" operator="containsText" text="INVALID ENTRY">
      <formula>NOT(ISERROR(SEARCH("INVALID ENTRY",N32)))</formula>
    </cfRule>
    <cfRule type="containsText" dxfId="107" priority="2124" operator="containsText" text="MISSING MARK">
      <formula>NOT(ISERROR(SEARCH("MISSING MARK",N32)))</formula>
    </cfRule>
  </conditionalFormatting>
  <conditionalFormatting sqref="H32:H36">
    <cfRule type="containsText" dxfId="106" priority="2120" operator="containsText" text="FAIL">
      <formula>NOT(ISERROR(SEARCH("FAIL",H32)))</formula>
    </cfRule>
  </conditionalFormatting>
  <conditionalFormatting sqref="O32:O36">
    <cfRule type="containsText" dxfId="105" priority="2113" operator="containsText" text="INVALID MARK">
      <formula>NOT(ISERROR(SEARCH("INVALID MARK",O32)))</formula>
    </cfRule>
    <cfRule type="containsText" dxfId="104" priority="2114" operator="containsText" text="INVALID ENTRY">
      <formula>NOT(ISERROR(SEARCH("INVALID ENTRY",O32)))</formula>
    </cfRule>
    <cfRule type="containsText" dxfId="103" priority="2115" operator="containsText" text="MISSING MARK">
      <formula>NOT(ISERROR(SEARCH("MISSING MARK",O32)))</formula>
    </cfRule>
  </conditionalFormatting>
  <conditionalFormatting sqref="P32:P36">
    <cfRule type="containsText" dxfId="102" priority="2110" operator="containsText" text="INVALID MARK">
      <formula>NOT(ISERROR(SEARCH("INVALID MARK",P32)))</formula>
    </cfRule>
    <cfRule type="containsText" dxfId="101" priority="2111" operator="containsText" text="INVALID ENTRY">
      <formula>NOT(ISERROR(SEARCH("INVALID ENTRY",P32)))</formula>
    </cfRule>
    <cfRule type="containsText" dxfId="100" priority="2112" operator="containsText" text="MISSING MARK">
      <formula>NOT(ISERROR(SEARCH("MISSING MARK",P32)))</formula>
    </cfRule>
  </conditionalFormatting>
  <conditionalFormatting sqref="Q32:Q36">
    <cfRule type="containsText" dxfId="99" priority="2107" operator="containsText" text="INVALID MARK">
      <formula>NOT(ISERROR(SEARCH("INVALID MARK",Q32)))</formula>
    </cfRule>
    <cfRule type="containsText" dxfId="98" priority="2108" operator="containsText" text="INVALID ENTRY">
      <formula>NOT(ISERROR(SEARCH("INVALID ENTRY",Q32)))</formula>
    </cfRule>
    <cfRule type="containsText" dxfId="97" priority="2109" operator="containsText" text="MISSING MARK">
      <formula>NOT(ISERROR(SEARCH("MISSING MARK",Q32)))</formula>
    </cfRule>
  </conditionalFormatting>
  <conditionalFormatting sqref="G37">
    <cfRule type="containsText" dxfId="96" priority="2092" operator="containsText" text="WRITE SUPP">
      <formula>NOT(ISERROR(SEARCH("WRITE SUPP",G37)))</formula>
    </cfRule>
  </conditionalFormatting>
  <conditionalFormatting sqref="N37">
    <cfRule type="containsText" dxfId="95" priority="2089" operator="containsText" text="INVALID MARK">
      <formula>NOT(ISERROR(SEARCH("INVALID MARK",N37)))</formula>
    </cfRule>
    <cfRule type="containsText" dxfId="94" priority="2090" operator="containsText" text="INVALID ENTRY">
      <formula>NOT(ISERROR(SEARCH("INVALID ENTRY",N37)))</formula>
    </cfRule>
    <cfRule type="containsText" dxfId="93" priority="2091" operator="containsText" text="MISSING MARK">
      <formula>NOT(ISERROR(SEARCH("MISSING MARK",N37)))</formula>
    </cfRule>
  </conditionalFormatting>
  <conditionalFormatting sqref="H37">
    <cfRule type="containsText" dxfId="92" priority="2087" operator="containsText" text="FAIL">
      <formula>NOT(ISERROR(SEARCH("FAIL",H37)))</formula>
    </cfRule>
  </conditionalFormatting>
  <conditionalFormatting sqref="O37">
    <cfRule type="containsText" dxfId="91" priority="2080" operator="containsText" text="INVALID MARK">
      <formula>NOT(ISERROR(SEARCH("INVALID MARK",O37)))</formula>
    </cfRule>
    <cfRule type="containsText" dxfId="90" priority="2081" operator="containsText" text="INVALID ENTRY">
      <formula>NOT(ISERROR(SEARCH("INVALID ENTRY",O37)))</formula>
    </cfRule>
    <cfRule type="containsText" dxfId="89" priority="2082" operator="containsText" text="MISSING MARK">
      <formula>NOT(ISERROR(SEARCH("MISSING MARK",O37)))</formula>
    </cfRule>
  </conditionalFormatting>
  <conditionalFormatting sqref="P37">
    <cfRule type="containsText" dxfId="88" priority="2077" operator="containsText" text="INVALID MARK">
      <formula>NOT(ISERROR(SEARCH("INVALID MARK",P37)))</formula>
    </cfRule>
    <cfRule type="containsText" dxfId="87" priority="2078" operator="containsText" text="INVALID ENTRY">
      <formula>NOT(ISERROR(SEARCH("INVALID ENTRY",P37)))</formula>
    </cfRule>
    <cfRule type="containsText" dxfId="86" priority="2079" operator="containsText" text="MISSING MARK">
      <formula>NOT(ISERROR(SEARCH("MISSING MARK",P37)))</formula>
    </cfRule>
  </conditionalFormatting>
  <conditionalFormatting sqref="Q37">
    <cfRule type="containsText" dxfId="85" priority="2074" operator="containsText" text="INVALID MARK">
      <formula>NOT(ISERROR(SEARCH("INVALID MARK",Q37)))</formula>
    </cfRule>
    <cfRule type="containsText" dxfId="84" priority="2075" operator="containsText" text="INVALID ENTRY">
      <formula>NOT(ISERROR(SEARCH("INVALID ENTRY",Q37)))</formula>
    </cfRule>
    <cfRule type="containsText" dxfId="83" priority="2076" operator="containsText" text="MISSING MARK">
      <formula>NOT(ISERROR(SEARCH("MISSING MARK",Q37)))</formula>
    </cfRule>
  </conditionalFormatting>
  <conditionalFormatting sqref="J38">
    <cfRule type="cellIs" dxfId="82" priority="1994" operator="lessThan">
      <formula>$D$10</formula>
    </cfRule>
  </conditionalFormatting>
  <conditionalFormatting sqref="G38">
    <cfRule type="containsText" dxfId="81" priority="1992" operator="containsText" text="WRITE SUPP">
      <formula>NOT(ISERROR(SEARCH("WRITE SUPP",G38)))</formula>
    </cfRule>
  </conditionalFormatting>
  <conditionalFormatting sqref="N38">
    <cfRule type="containsText" dxfId="80" priority="1989" operator="containsText" text="INVALID MARK">
      <formula>NOT(ISERROR(SEARCH("INVALID MARK",N38)))</formula>
    </cfRule>
    <cfRule type="containsText" dxfId="79" priority="1990" operator="containsText" text="INVALID ENTRY">
      <formula>NOT(ISERROR(SEARCH("INVALID ENTRY",N38)))</formula>
    </cfRule>
    <cfRule type="containsText" dxfId="78" priority="1991" operator="containsText" text="MISSING MARK">
      <formula>NOT(ISERROR(SEARCH("MISSING MARK",N38)))</formula>
    </cfRule>
  </conditionalFormatting>
  <conditionalFormatting sqref="H38">
    <cfRule type="containsText" dxfId="77" priority="1988" operator="containsText" text="FAIL">
      <formula>NOT(ISERROR(SEARCH("FAIL",H38)))</formula>
    </cfRule>
  </conditionalFormatting>
  <conditionalFormatting sqref="O38">
    <cfRule type="containsText" dxfId="76" priority="1981" operator="containsText" text="INVALID MARK">
      <formula>NOT(ISERROR(SEARCH("INVALID MARK",O38)))</formula>
    </cfRule>
    <cfRule type="containsText" dxfId="75" priority="1982" operator="containsText" text="INVALID ENTRY">
      <formula>NOT(ISERROR(SEARCH("INVALID ENTRY",O38)))</formula>
    </cfRule>
    <cfRule type="containsText" dxfId="74" priority="1983" operator="containsText" text="MISSING MARK">
      <formula>NOT(ISERROR(SEARCH("MISSING MARK",O38)))</formula>
    </cfRule>
  </conditionalFormatting>
  <conditionalFormatting sqref="P38">
    <cfRule type="containsText" dxfId="73" priority="1978" operator="containsText" text="INVALID MARK">
      <formula>NOT(ISERROR(SEARCH("INVALID MARK",P38)))</formula>
    </cfRule>
    <cfRule type="containsText" dxfId="72" priority="1979" operator="containsText" text="INVALID ENTRY">
      <formula>NOT(ISERROR(SEARCH("INVALID ENTRY",P38)))</formula>
    </cfRule>
    <cfRule type="containsText" dxfId="71" priority="1980" operator="containsText" text="MISSING MARK">
      <formula>NOT(ISERROR(SEARCH("MISSING MARK",P38)))</formula>
    </cfRule>
  </conditionalFormatting>
  <conditionalFormatting sqref="Q38">
    <cfRule type="containsText" dxfId="70" priority="1975" operator="containsText" text="INVALID MARK">
      <formula>NOT(ISERROR(SEARCH("INVALID MARK",Q38)))</formula>
    </cfRule>
    <cfRule type="containsText" dxfId="69" priority="1976" operator="containsText" text="INVALID ENTRY">
      <formula>NOT(ISERROR(SEARCH("INVALID ENTRY",Q38)))</formula>
    </cfRule>
    <cfRule type="containsText" dxfId="68" priority="1977" operator="containsText" text="MISSING MARK">
      <formula>NOT(ISERROR(SEARCH("MISSING MARK",Q38)))</formula>
    </cfRule>
  </conditionalFormatting>
  <conditionalFormatting sqref="K28:K38">
    <cfRule type="containsText" dxfId="67" priority="843" operator="containsText" text="INVALID ENTRY">
      <formula>NOT(ISERROR(SEARCH("INVALID ENTRY",K28)))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5" t="s">
        <v>75</v>
      </c>
      <c r="G4" s="125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IF(ISOVERMAX(L7:U7)=1,"INVALID MARK",IF(ISOVERMAX(L7:U7)=2,"INVALID ENTRY",IF(COUNT(L7:U7)&lt;COUNT(L$6:U$6),"MISSING MARK",(H7-J7)*K$6)))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IF(ISOVERMAX(L8:U8)=1,"INVALID MARK",IF(ISOVERMAX(L8:U8)=2,"INVALID ENTRY",IF(COUNT(L8:U8)&lt;COUNT(L$6:U$6),"MISSING MARK",(H8-J8)*K$6)))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IF(ISOVERMAX(L9:U9)=1,"INVALID MARK",IF(ISOVERMAX(L9:U9)=2,"INVALID ENTRY",IF(COUNT(L9:U9)&lt;COUNT(L$6:U$6),"MISSING MARK",(H9-J9)*K$6)))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IF(ISOVERMAX(L10:U10)=1,"INVALID MARK",IF(ISOVERMAX(L10:U10)=2,"INVALID ENTRY",IF(COUNT(L10:U10)&lt;COUNT(L$6:U$6),"MISSING MARK",(H10-J10)*K$6)))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IF(ISOVERMAX(L11:U11)=1,"INVALID MARK",IF(ISOVERMAX(L11:U11)=2,"INVALID ENTRY",IF(COUNT(L11:U11)&lt;COUNT(L$6:U$6),"MISSING MARK",(H11-J11)*K$6)))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IF(ISOVERMAX(L12:U12)=1,"INVALID MARK",IF(ISOVERMAX(L12:U12)=2,"INVALID ENTRY",IF(COUNT(L12:U12)&lt;COUNT(L$6:U$6),"MISSING MARK",(H12-J12)*K$6)))</f>
        <v>3.0000000000000004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IF(ISOVERMAX(L13:U13)=1,"INVALID MARK",IF(ISOVERMAX(L13:U13)=2,"INVALID ENTRY",IF(COUNT(L13:U13)&lt;COUNT(L$6:U$6),"MISSING MARK",(H13-J13)*K$6)))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IF(ISOVERMAX(L14:U14)=1,"INVALID MARK",IF(ISOVERMAX(L14:U14)=2,"INVALID ENTRY",IF(COUNT(L14:U14)&lt;COUNT(L$6:U$6),"MISSING MARK",(H14-J14)*K$6)))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IF(ISOVERMAX(L15:U15)=1,"INVALID MARK",IF(ISOVERMAX(L15:U15)=2,"INVALID ENTRY",IF(COUNT(L15:U15)&lt;COUNT(L$6:U$6),"MISSING MARK",(H15-J15)*K$6)))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IF(ISOVERMAX(L16:U16)=1,"INVALID MARK",IF(ISOVERMAX(L16:U16)=2,"INVALID ENTRY",IF(COUNT(L16:U16)&lt;COUNT(L$6:U$6),"MISSING MARK",(H16-J16)*K$6)))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IF(ISOVERMAX(L17:U17)=1,"INVALID MARK",IF(ISOVERMAX(L17:U17)=2,"INVALID ENTRY",IF(COUNT(L17:U17)&lt;COUNT(L$6:U$6),"MISSING MARK",(H17-J17)*K$6)))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426" operator="containsText" text="INVALID MARK">
      <formula>NOT(ISERROR(SEARCH("INVALID MARK",I7)))</formula>
    </cfRule>
    <cfRule type="containsText" dxfId="65" priority="427" operator="containsText" text="INVALID ENTRY">
      <formula>NOT(ISERROR(SEARCH("INVALID ENTRY",I7)))</formula>
    </cfRule>
    <cfRule type="containsText" dxfId="64" priority="428" operator="containsText" text="MISSING MARK">
      <formula>NOT(ISERROR(SEARCH("MISSING MARK",I7)))</formula>
    </cfRule>
  </conditionalFormatting>
  <conditionalFormatting sqref="D7">
    <cfRule type="containsText" dxfId="63" priority="256" operator="containsText" text="FAIL">
      <formula>NOT(ISERROR(SEARCH("FAIL",D7)))</formula>
    </cfRule>
    <cfRule type="containsText" dxfId="62" priority="257" operator="containsText" text="PASS">
      <formula>NOT(ISERROR(SEARCH("PASS",D7)))</formula>
    </cfRule>
  </conditionalFormatting>
  <conditionalFormatting sqref="D8:D10">
    <cfRule type="containsText" dxfId="61" priority="241" operator="containsText" text="FAIL">
      <formula>NOT(ISERROR(SEARCH("FAIL",D8)))</formula>
    </cfRule>
    <cfRule type="containsText" dxfId="60" priority="242" operator="containsText" text="PASS">
      <formula>NOT(ISERROR(SEARCH("PASS",D8)))</formula>
    </cfRule>
  </conditionalFormatting>
  <conditionalFormatting sqref="D11:D15">
    <cfRule type="containsText" dxfId="59" priority="236" operator="containsText" text="FAIL">
      <formula>NOT(ISERROR(SEARCH("FAIL",D11)))</formula>
    </cfRule>
    <cfRule type="containsText" dxfId="58" priority="237" operator="containsText" text="PASS">
      <formula>NOT(ISERROR(SEARCH("PASS",D11)))</formula>
    </cfRule>
  </conditionalFormatting>
  <conditionalFormatting sqref="D16">
    <cfRule type="containsText" dxfId="57" priority="231" operator="containsText" text="FAIL">
      <formula>NOT(ISERROR(SEARCH("FAIL",D16)))</formula>
    </cfRule>
    <cfRule type="containsText" dxfId="56" priority="232" operator="containsText" text="PASS">
      <formula>NOT(ISERROR(SEARCH("PASS",D16)))</formula>
    </cfRule>
  </conditionalFormatting>
  <conditionalFormatting sqref="D17">
    <cfRule type="containsText" dxfId="55" priority="211" operator="containsText" text="FAIL">
      <formula>NOT(ISERROR(SEARCH("FAIL",D17)))</formula>
    </cfRule>
    <cfRule type="containsText" dxfId="54" priority="21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83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IF(ISOVERMAX(L7:U7)=1,"INVALID MARK",IF(ISOVERMAX(L7:U7)=2,"INVALID ENTRY",IF(COUNT(L7:U7)&lt;COUNT(L$6:U$6),"MISSING MARK",(H7-J7)*K$6)))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IF(ISOVERMAX(L8:U8)=1,"INVALID MARK",IF(ISOVERMAX(L8:U8)=2,"INVALID ENTRY",IF(COUNT(L8:U8)&lt;COUNT(L$6:U$6),"MISSING MARK",(H8-J8)*K$6)))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IF(ISOVERMAX(L9:U9)=1,"INVALID MARK",IF(ISOVERMAX(L9:U9)=2,"INVALID ENTRY",IF(COUNT(L9:U9)&lt;COUNT(L$6:U$6),"MISSING MARK",(H9-J9)*K$6)))</f>
        <v>9.0000000000000018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IF(ISOVERMAX(L10:U10)=1,"INVALID MARK",IF(ISOVERMAX(L10:U10)=2,"INVALID ENTRY",IF(COUNT(L10:U10)&lt;COUNT(L$6:U$6),"MISSING MARK",(H10-J10)*K$6)))</f>
        <v>13.999999999999998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IF(ISOVERMAX(L11:U11)=1,"INVALID MARK",IF(ISOVERMAX(L11:U11)=2,"INVALID ENTRY",IF(COUNT(L11:U11)&lt;COUNT(L$6:U$6),"MISSING MARK",(H11-J11)*K$6)))</f>
        <v>14.999999999999998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IF(ISOVERMAX(L12:U12)=1,"INVALID MARK",IF(ISOVERMAX(L12:U12)=2,"INVALID ENTRY",IF(COUNT(L12:U12)&lt;COUNT(L$6:U$6),"MISSING MARK",(H12-J12)*K$6)))</f>
        <v>8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IF(ISOVERMAX(L13:U13)=1,"INVALID MARK",IF(ISOVERMAX(L13:U13)=2,"INVALID ENTRY",IF(COUNT(L13:U13)&lt;COUNT(L$6:U$6),"MISSING MARK",(H13-J13)*K$6)))</f>
        <v>INVALID ENTRY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IF(ISOVERMAX(L14:U14)=1,"INVALID MARK",IF(ISOVERMAX(L14:U14)=2,"INVALID ENTRY",IF(COUNT(L14:U14)&lt;COUNT(L$6:U$6),"MISSING MARK",(H14-J14)*K$6)))</f>
        <v>15.499999999999998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IF(ISOVERMAX(L15:U15)=1,"INVALID MARK",IF(ISOVERMAX(L15:U15)=2,"INVALID ENTRY",IF(COUNT(L15:U15)&lt;COUNT(L$6:U$6),"MISSING MARK",(H15-J15)*K$6)))</f>
        <v>11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IF(ISOVERMAX(L16:U16)=1,"INVALID MARK",IF(ISOVERMAX(L16:U16)=2,"INVALID ENTRY",IF(COUNT(L16:U16)&lt;COUNT(L$6:U$6),"MISSING MARK",(H16-J16)*K$6)))</f>
        <v>17.999999999999996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IF(ISOVERMAX(L17:U17)=1,"INVALID MARK",IF(ISOVERMAX(L17:U17)=2,"INVALID ENTRY",IF(COUNT(L17:U17)&lt;COUNT(L$6:U$6),"MISSING MARK",(H17-J17)*K$6)))</f>
        <v>16.999999999999996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</sheetData>
  <mergeCells count="1">
    <mergeCell ref="F4:G4"/>
  </mergeCells>
  <conditionalFormatting sqref="I7:I17">
    <cfRule type="containsText" dxfId="53" priority="248" operator="containsText" text="INVALID MARK">
      <formula>NOT(ISERROR(SEARCH("INVALID MARK",I7)))</formula>
    </cfRule>
    <cfRule type="containsText" dxfId="52" priority="249" operator="containsText" text="INVALID ENTRY">
      <formula>NOT(ISERROR(SEARCH("INVALID ENTRY",I7)))</formula>
    </cfRule>
    <cfRule type="containsText" dxfId="51" priority="250" operator="containsText" text="MISSING MARK">
      <formula>NOT(ISERROR(SEARCH("MISSING MARK",I7)))</formula>
    </cfRule>
  </conditionalFormatting>
  <conditionalFormatting sqref="D7">
    <cfRule type="containsText" dxfId="50" priority="246" operator="containsText" text="FAIL">
      <formula>NOT(ISERROR(SEARCH("FAIL",D7)))</formula>
    </cfRule>
    <cfRule type="containsText" dxfId="49" priority="247" operator="containsText" text="PASS">
      <formula>NOT(ISERROR(SEARCH("PASS",D7)))</formula>
    </cfRule>
  </conditionalFormatting>
  <conditionalFormatting sqref="D8:D10">
    <cfRule type="containsText" dxfId="48" priority="241" operator="containsText" text="FAIL">
      <formula>NOT(ISERROR(SEARCH("FAIL",D8)))</formula>
    </cfRule>
    <cfRule type="containsText" dxfId="47" priority="242" operator="containsText" text="PASS">
      <formula>NOT(ISERROR(SEARCH("PASS",D8)))</formula>
    </cfRule>
  </conditionalFormatting>
  <conditionalFormatting sqref="D11:D15">
    <cfRule type="containsText" dxfId="46" priority="236" operator="containsText" text="FAIL">
      <formula>NOT(ISERROR(SEARCH("FAIL",D11)))</formula>
    </cfRule>
    <cfRule type="containsText" dxfId="45" priority="237" operator="containsText" text="PASS">
      <formula>NOT(ISERROR(SEARCH("PASS",D11)))</formula>
    </cfRule>
  </conditionalFormatting>
  <conditionalFormatting sqref="D16">
    <cfRule type="containsText" dxfId="44" priority="231" operator="containsText" text="FAIL">
      <formula>NOT(ISERROR(SEARCH("FAIL",D16)))</formula>
    </cfRule>
    <cfRule type="containsText" dxfId="43" priority="232" operator="containsText" text="PASS">
      <formula>NOT(ISERROR(SEARCH("PASS",D16)))</formula>
    </cfRule>
  </conditionalFormatting>
  <conditionalFormatting sqref="D17">
    <cfRule type="containsText" dxfId="42" priority="211" operator="containsText" text="FAIL">
      <formula>NOT(ISERROR(SEARCH("FAIL",D17)))</formula>
    </cfRule>
    <cfRule type="containsText" dxfId="41" priority="21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83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IF(ISOVERMAX(L7:U7)=1,"INVALID MARK",IF(ISOVERMAX(L7:U7)=2,"INVALID ENTRY",IF(COUNT(L7:U7)&lt;COUNT(L$6:U$6),"MISSING MARK",(H7-J7)*K$6)))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IF(ISOVERMAX(L8:U8)=1,"INVALID MARK",IF(ISOVERMAX(L8:U8)=2,"INVALID ENTRY",IF(COUNT(L8:U8)&lt;COUNT(L$6:U$6),"MISSING MARK",(H8-J8)*K$6)))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IF(ISOVERMAX(L10:U10)=1,"INVALID MARK",IF(ISOVERMAX(L10:U10)=2,"INVALID ENTRY",IF(COUNT(L10:U10)&lt;COUNT(L$6:U$6),"MISSING MARK",(H10-J10)*K$6)))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IF(ISOVERMAX(L11:U11)=1,"INVALID MARK",IF(ISOVERMAX(L11:U11)=2,"INVALID ENTRY",IF(COUNT(L11:U11)&lt;COUNT(L$6:U$6),"MISSING MARK",(H11-J11)*K$6)))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IF(ISOVERMAX(L12:U12)=1,"INVALID MARK",IF(ISOVERMAX(L12:U12)=2,"INVALID ENTRY",IF(COUNT(L12:U12)&lt;COUNT(L$6:U$6),"MISSING MARK",(H12-J12)*K$6)))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IF(ISOVERMAX(L13:U13)=1,"INVALID MARK",IF(ISOVERMAX(L13:U13)=2,"INVALID ENTRY",IF(COUNT(L13:U13)&lt;COUNT(L$6:U$6),"MISSING MARK",(H13-J13)*K$6)))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IF(ISOVERMAX(L14:U14)=1,"INVALID MARK",IF(ISOVERMAX(L14:U14)=2,"INVALID ENTRY",IF(COUNT(L14:U14)&lt;COUNT(L$6:U$6),"MISSING MARK",(H14-J14)*K$6)))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IF(ISOVERMAX(L15:U15)=1,"INVALID MARK",IF(ISOVERMAX(L15:U15)=2,"INVALID ENTRY",IF(COUNT(L15:U15)&lt;COUNT(L$6:U$6),"MISSING MARK",(H15-J15)*K$6)))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IF(ISOVERMAX(L16:U16)=1,"INVALID MARK",IF(ISOVERMAX(L16:U16)=2,"INVALID ENTRY",IF(COUNT(L16:U16)&lt;COUNT(L$6:U$6),"MISSING MARK",(H16-J16)*K$6)))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 t="str">
        <f>IF(ISOVERMAX(L17:U17)=1,"INVALID MARK",IF(ISOVERMAX(L17:U17)=2,"INVALID ENTRY",IF(COUNT(L17:U17)&lt;COUNT(L$6:U$6),"MISSING MARK",(H17-J17)*K$6)))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</sheetData>
  <mergeCells count="1">
    <mergeCell ref="F4:G4"/>
  </mergeCells>
  <conditionalFormatting sqref="I7:I17">
    <cfRule type="containsText" dxfId="40" priority="248" operator="containsText" text="INVALID MARK">
      <formula>NOT(ISERROR(SEARCH("INVALID MARK",I7)))</formula>
    </cfRule>
    <cfRule type="containsText" dxfId="39" priority="249" operator="containsText" text="INVALID ENTRY">
      <formula>NOT(ISERROR(SEARCH("INVALID ENTRY",I7)))</formula>
    </cfRule>
    <cfRule type="containsText" dxfId="38" priority="250" operator="containsText" text="MISSING MARK">
      <formula>NOT(ISERROR(SEARCH("MISSING MARK",I7)))</formula>
    </cfRule>
  </conditionalFormatting>
  <conditionalFormatting sqref="D7">
    <cfRule type="containsText" dxfId="37" priority="246" operator="containsText" text="FAIL">
      <formula>NOT(ISERROR(SEARCH("FAIL",D7)))</formula>
    </cfRule>
    <cfRule type="containsText" dxfId="36" priority="247" operator="containsText" text="PASS">
      <formula>NOT(ISERROR(SEARCH("PASS",D7)))</formula>
    </cfRule>
  </conditionalFormatting>
  <conditionalFormatting sqref="D8:D10">
    <cfRule type="containsText" dxfId="35" priority="241" operator="containsText" text="FAIL">
      <formula>NOT(ISERROR(SEARCH("FAIL",D8)))</formula>
    </cfRule>
    <cfRule type="containsText" dxfId="34" priority="242" operator="containsText" text="PASS">
      <formula>NOT(ISERROR(SEARCH("PASS",D8)))</formula>
    </cfRule>
  </conditionalFormatting>
  <conditionalFormatting sqref="D11:D15">
    <cfRule type="containsText" dxfId="33" priority="236" operator="containsText" text="FAIL">
      <formula>NOT(ISERROR(SEARCH("FAIL",D11)))</formula>
    </cfRule>
    <cfRule type="containsText" dxfId="32" priority="237" operator="containsText" text="PASS">
      <formula>NOT(ISERROR(SEARCH("PASS",D11)))</formula>
    </cfRule>
  </conditionalFormatting>
  <conditionalFormatting sqref="D16">
    <cfRule type="containsText" dxfId="31" priority="231" operator="containsText" text="FAIL">
      <formula>NOT(ISERROR(SEARCH("FAIL",D16)))</formula>
    </cfRule>
    <cfRule type="containsText" dxfId="30" priority="232" operator="containsText" text="PASS">
      <formula>NOT(ISERROR(SEARCH("PASS",D16)))</formula>
    </cfRule>
  </conditionalFormatting>
  <conditionalFormatting sqref="D17">
    <cfRule type="containsText" dxfId="29" priority="211" operator="containsText" text="FAIL">
      <formula>NOT(ISERROR(SEARCH("FAIL",D17)))</formula>
    </cfRule>
    <cfRule type="containsText" dxfId="28" priority="21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83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IF(ISOVERMAX(L7:U7)=1,"INVALID MARK",IF(ISOVERMAX(L7:U7)=2,"INVALID ENTRY",IF(COUNT(L7:U7)&lt;COUNT(L$6:U$6),"MISSING MARK",(H7-J7)*K$6)))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IF(ISOVERMAX(L8:U8)=1,"INVALID MARK",IF(ISOVERMAX(L8:U8)=2,"INVALID ENTRY",IF(COUNT(L8:U8)&lt;COUNT(L$6:U$6),"MISSING MARK",(H8-J8)*K$6)))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IF(ISOVERMAX(L9:U9)=1,"INVALID MARK",IF(ISOVERMAX(L9:U9)=2,"INVALID ENTRY",IF(COUNT(L9:U9)&lt;COUNT(L$6:U$6),"MISSING MARK",(H9-J9)*K$6)))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IF(ISOVERMAX(L10:U10)=1,"INVALID MARK",IF(ISOVERMAX(L10:U10)=2,"INVALID ENTRY",IF(COUNT(L10:U10)&lt;COUNT(L$6:U$6),"MISSING MARK",(H10-J10)*K$6)))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IF(ISOVERMAX(L11:U11)=1,"INVALID MARK",IF(ISOVERMAX(L11:U11)=2,"INVALID ENTRY",IF(COUNT(L11:U11)&lt;COUNT(L$6:U$6),"MISSING MARK",(H11-J11)*K$6)))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IF(ISOVERMAX(L12:U12)=1,"INVALID MARK",IF(ISOVERMAX(L12:U12)=2,"INVALID ENTRY",IF(COUNT(L12:U12)&lt;COUNT(L$6:U$6),"MISSING MARK",(H12-J12)*K$6)))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IF(ISOVERMAX(L13:U13)=1,"INVALID MARK",IF(ISOVERMAX(L13:U13)=2,"INVALID ENTRY",IF(COUNT(L13:U13)&lt;COUNT(L$6:U$6),"MISSING MARK",(H13-J13)*K$6)))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IF(ISOVERMAX(L14:U14)=1,"INVALID MARK",IF(ISOVERMAX(L14:U14)=2,"INVALID ENTRY",IF(COUNT(L14:U14)&lt;COUNT(L$6:U$6),"MISSING MARK",(H14-J14)*K$6)))</f>
        <v>26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IF(ISOVERMAX(L15:U15)=1,"INVALID MARK",IF(ISOVERMAX(L15:U15)=2,"INVALID ENTRY",IF(COUNT(L15:U15)&lt;COUNT(L$6:U$6),"MISSING MARK",(H15-J15)*K$6)))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IF(ISOVERMAX(L16:U16)=1,"INVALID MARK",IF(ISOVERMAX(L16:U16)=2,"INVALID ENTRY",IF(COUNT(L16:U16)&lt;COUNT(L$6:U$6),"MISSING MARK",(H16-J16)*K$6)))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IF(ISOVERMAX(L17:U17)=1,"INVALID MARK",IF(ISOVERMAX(L17:U17)=2,"INVALID ENTRY",IF(COUNT(L17:U17)&lt;COUNT(L$6:U$6),"MISSING MARK",(H17-J17)*K$6)))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</sheetData>
  <mergeCells count="1">
    <mergeCell ref="F4:G4"/>
  </mergeCells>
  <conditionalFormatting sqref="I7:I17">
    <cfRule type="containsText" dxfId="27" priority="248" operator="containsText" text="INVALID MARK">
      <formula>NOT(ISERROR(SEARCH("INVALID MARK",I7)))</formula>
    </cfRule>
    <cfRule type="containsText" dxfId="26" priority="249" operator="containsText" text="INVALID ENTRY">
      <formula>NOT(ISERROR(SEARCH("INVALID ENTRY",I7)))</formula>
    </cfRule>
    <cfRule type="containsText" dxfId="25" priority="250" operator="containsText" text="MISSING MARK">
      <formula>NOT(ISERROR(SEARCH("MISSING MARK",I7)))</formula>
    </cfRule>
  </conditionalFormatting>
  <conditionalFormatting sqref="D7">
    <cfRule type="containsText" dxfId="24" priority="246" operator="containsText" text="FAIL">
      <formula>NOT(ISERROR(SEARCH("FAIL",D7)))</formula>
    </cfRule>
    <cfRule type="containsText" dxfId="23" priority="247" operator="containsText" text="PASS">
      <formula>NOT(ISERROR(SEARCH("PASS",D7)))</formula>
    </cfRule>
  </conditionalFormatting>
  <conditionalFormatting sqref="D8:D10">
    <cfRule type="containsText" dxfId="22" priority="241" operator="containsText" text="FAIL">
      <formula>NOT(ISERROR(SEARCH("FAIL",D8)))</formula>
    </cfRule>
    <cfRule type="containsText" dxfId="21" priority="242" operator="containsText" text="PASS">
      <formula>NOT(ISERROR(SEARCH("PASS",D8)))</formula>
    </cfRule>
  </conditionalFormatting>
  <conditionalFormatting sqref="D11:D15">
    <cfRule type="containsText" dxfId="20" priority="236" operator="containsText" text="FAIL">
      <formula>NOT(ISERROR(SEARCH("FAIL",D11)))</formula>
    </cfRule>
    <cfRule type="containsText" dxfId="19" priority="237" operator="containsText" text="PASS">
      <formula>NOT(ISERROR(SEARCH("PASS",D11)))</formula>
    </cfRule>
  </conditionalFormatting>
  <conditionalFormatting sqref="D16">
    <cfRule type="containsText" dxfId="18" priority="231" operator="containsText" text="FAIL">
      <formula>NOT(ISERROR(SEARCH("FAIL",D16)))</formula>
    </cfRule>
    <cfRule type="containsText" dxfId="17" priority="232" operator="containsText" text="PASS">
      <formula>NOT(ISERROR(SEARCH("PASS",D16)))</formula>
    </cfRule>
  </conditionalFormatting>
  <conditionalFormatting sqref="D17">
    <cfRule type="containsText" dxfId="16" priority="211" operator="containsText" text="FAIL">
      <formula>NOT(ISERROR(SEARCH("FAIL",D17)))</formula>
    </cfRule>
    <cfRule type="containsText" dxfId="15" priority="21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IF(ISOVERMAX(L7:U7)=1,"INVALID MARK",IF(ISOVERMAX(L7:U7)=2,"INVALID ENTRY",IF(COUNT(L7:U7)&lt;COUNT(L$6:U$6),"MISSING MARK",(H7-J7)*K$6)))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IF(ISOVERMAX(L8:U8)=1,"INVALID MARK",IF(ISOVERMAX(L8:U8)=2,"INVALID ENTRY",IF(COUNT(L8:U8)&lt;COUNT(L$6:U$6),"MISSING MARK",(H8-J8)*K$6)))</f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IF(ISOVERMAX(L10:U10)=1,"INVALID MARK",IF(ISOVERMAX(L10:U10)=2,"INVALID ENTRY",IF(COUNT(L10:U10)&lt;COUNT(L$6:U$6),"MISSING MARK",(H10-J10)*K$6)))</f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IF(ISOVERMAX(L11:U11)=1,"INVALID MARK",IF(ISOVERMAX(L11:U11)=2,"INVALID ENTRY",IF(COUNT(L11:U11)&lt;COUNT(L$6:U$6),"MISSING MARK",(H11-J11)*K$6)))</f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IF(ISOVERMAX(L12:U12)=1,"INVALID MARK",IF(ISOVERMAX(L12:U12)=2,"INVALID ENTRY",IF(COUNT(L12:U12)&lt;COUNT(L$6:U$6),"MISSING MARK",(H12-J12)*K$6)))</f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5">IF(K13/K$6-J13&gt;=0, K13/K$6-J13, 0)</f>
        <v>0.57999999999999996</v>
      </c>
      <c r="I13" s="20">
        <f>IF(ISOVERMAX(L13:U13)=1,"INVALID MARK",IF(ISOVERMAX(L13:U13)=2,"INVALID ENTRY",IF(COUNT(L13:U13)&lt;COUNT(L$6:U$6),"MISSING MARK",(H13-J13)*K$6)))</f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0.69</v>
      </c>
      <c r="I14" s="20">
        <f>IF(ISOVERMAX(L14:U14)=1,"INVALID MARK",IF(ISOVERMAX(L14:U14)=2,"INVALID ENTRY",IF(COUNT(L14:U14)&lt;COUNT(L$6:U$6),"MISSING MARK",(H14-J14)*K$6)))</f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0.80500000000000005</v>
      </c>
      <c r="I15" s="20">
        <f>IF(ISOVERMAX(L15:U15)=1,"INVALID MARK",IF(ISOVERMAX(L15:U15)=2,"INVALID ENTRY",IF(COUNT(L15:U15)&lt;COUNT(L$6:U$6),"MISSING MARK",(H15-J15)*K$6)))</f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5"/>
        <v>0.77</v>
      </c>
      <c r="I16" s="20">
        <f>IF(ISOVERMAX(L16:U16)=1,"INVALID MARK",IF(ISOVERMAX(L16:U16)=2,"INVALID ENTRY",IF(COUNT(L16:U16)&lt;COUNT(L$6:U$6),"MISSING MARK",(H16-J16)*K$6)))</f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8">IF(K17/K$6-J17&gt;=0, K17/K$6-J17, 0)</f>
        <v>0.69</v>
      </c>
      <c r="I17" s="20">
        <f>IF(ISOVERMAX(L17:U17)=1,"INVALID MARK",IF(ISOVERMAX(L17:U17)=2,"INVALID ENTRY",IF(COUNT(L17:U17)&lt;COUNT(L$6:U$6),"MISSING MARK",(H17-J17)*K$6)))</f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534" operator="containsText" text="INVALID MARK">
      <formula>NOT(ISERROR(SEARCH("INVALID MARK",I7)))</formula>
    </cfRule>
    <cfRule type="containsText" dxfId="13" priority="535" operator="containsText" text="INVALID ENTRY">
      <formula>NOT(ISERROR(SEARCH("INVALID ENTRY",I7)))</formula>
    </cfRule>
    <cfRule type="containsText" dxfId="12" priority="536" operator="containsText" text="MISSING MARK">
      <formula>NOT(ISERROR(SEARCH("MISSING MARK",I7)))</formula>
    </cfRule>
  </conditionalFormatting>
  <conditionalFormatting sqref="D7">
    <cfRule type="containsText" dxfId="11" priority="307" operator="containsText" text="FAIL">
      <formula>NOT(ISERROR(SEARCH("FAIL",D7)))</formula>
    </cfRule>
    <cfRule type="containsText" dxfId="10" priority="308" operator="containsText" text="PASS">
      <formula>NOT(ISERROR(SEARCH("PASS",D7)))</formula>
    </cfRule>
  </conditionalFormatting>
  <conditionalFormatting sqref="D8:D10">
    <cfRule type="containsText" dxfId="9" priority="289" operator="containsText" text="FAIL">
      <formula>NOT(ISERROR(SEARCH("FAIL",D8)))</formula>
    </cfRule>
    <cfRule type="containsText" dxfId="8" priority="290" operator="containsText" text="PASS">
      <formula>NOT(ISERROR(SEARCH("PASS",D8)))</formula>
    </cfRule>
  </conditionalFormatting>
  <conditionalFormatting sqref="H7:H16">
    <cfRule type="containsText" dxfId="7" priority="285" operator="containsText" text="INVALID MARK">
      <formula>NOT(ISERROR(SEARCH("INVALID MARK",H7)))</formula>
    </cfRule>
  </conditionalFormatting>
  <conditionalFormatting sqref="D11:D15">
    <cfRule type="containsText" dxfId="6" priority="283" operator="containsText" text="FAIL">
      <formula>NOT(ISERROR(SEARCH("FAIL",D11)))</formula>
    </cfRule>
    <cfRule type="containsText" dxfId="5" priority="284" operator="containsText" text="PASS">
      <formula>NOT(ISERROR(SEARCH("PASS",D11)))</formula>
    </cfRule>
  </conditionalFormatting>
  <conditionalFormatting sqref="D16">
    <cfRule type="containsText" dxfId="4" priority="277" operator="containsText" text="FAIL">
      <formula>NOT(ISERROR(SEARCH("FAIL",D16)))</formula>
    </cfRule>
    <cfRule type="containsText" dxfId="3" priority="278" operator="containsText" text="PASS">
      <formula>NOT(ISERROR(SEARCH("PASS",D16)))</formula>
    </cfRule>
  </conditionalFormatting>
  <conditionalFormatting sqref="H17">
    <cfRule type="containsText" dxfId="2" priority="258" operator="containsText" text="INVALID MARK">
      <formula>NOT(ISERROR(SEARCH("INVALID MARK",H17)))</formula>
    </cfRule>
  </conditionalFormatting>
  <conditionalFormatting sqref="D17">
    <cfRule type="containsText" dxfId="1" priority="253" operator="containsText" text="FAIL">
      <formula>NOT(ISERROR(SEARCH("FAIL",D17)))</formula>
    </cfRule>
    <cfRule type="containsText" dxfId="0" priority="254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Final Marks</vt:lpstr>
      <vt:lpstr>Sheet1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2020-10-08T19:16:47Z</dcterms:modified>
</cp:coreProperties>
</file>