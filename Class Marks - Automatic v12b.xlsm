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15" i="52"/>
  <c r="I11" i="52"/>
  <c r="I12" i="58"/>
  <c r="I16" i="56"/>
  <c r="I12" i="55"/>
  <c r="I15" i="54"/>
  <c r="I10" i="54"/>
  <c r="I12" i="56"/>
  <c r="I12" i="54"/>
  <c r="I14" i="52"/>
  <c r="I7" i="58"/>
  <c r="I11" i="58"/>
  <c r="I13" i="55"/>
  <c r="I8" i="52"/>
  <c r="I15" i="58"/>
  <c r="I14" i="58"/>
  <c r="I9" i="56"/>
  <c r="I8" i="55"/>
  <c r="I8" i="54"/>
  <c r="I13" i="58"/>
  <c r="I15" i="55"/>
  <c r="I7" i="54"/>
  <c r="I16" i="52"/>
  <c r="I8" i="58"/>
  <c r="I7" i="56"/>
  <c r="I10" i="56"/>
  <c r="I16" i="55"/>
  <c r="I16" i="54"/>
  <c r="I10" i="52"/>
  <c r="I14" i="55"/>
  <c r="I14" i="54"/>
  <c r="I9" i="52"/>
  <c r="I16" i="58"/>
  <c r="I15" i="56"/>
  <c r="I11" i="56"/>
  <c r="I9" i="55"/>
  <c r="I13" i="54"/>
  <c r="I17" i="56"/>
  <c r="I11" i="54"/>
  <c r="I13" i="52"/>
  <c r="I9" i="58"/>
  <c r="I13" i="56"/>
  <c r="I7" i="55"/>
  <c r="I11" i="55"/>
  <c r="I9" i="54"/>
  <c r="I14" i="56"/>
  <c r="I10" i="55"/>
  <c r="I7" i="52"/>
  <c r="I12" i="52"/>
  <c r="I10" i="58"/>
  <c r="I8" i="56"/>
  <c r="K8" i="52" l="1"/>
  <c r="K9" i="52"/>
  <c r="K10" i="52"/>
  <c r="K11" i="52"/>
  <c r="K12" i="52"/>
  <c r="K13" i="52"/>
  <c r="K14" i="52"/>
  <c r="K15" i="52"/>
  <c r="K16" i="52"/>
  <c r="K17" i="52"/>
  <c r="K7" i="52"/>
  <c r="N30" i="1" l="1"/>
  <c r="N34" i="1"/>
  <c r="N33" i="1"/>
  <c r="N32" i="1"/>
  <c r="N31" i="1"/>
  <c r="N29" i="1"/>
  <c r="M6" i="1"/>
  <c r="M11" i="1"/>
  <c r="M4" i="1"/>
  <c r="M12" i="1"/>
  <c r="M7" i="1"/>
  <c r="M13" i="1"/>
  <c r="M10" i="1"/>
  <c r="M8" i="1"/>
  <c r="M9" i="1"/>
  <c r="M5" i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M32" i="1" s="1"/>
  <c r="O33" i="1"/>
  <c r="O34" i="1"/>
  <c r="O30" i="1"/>
  <c r="O31" i="1"/>
  <c r="O28" i="1"/>
  <c r="N28" i="1"/>
  <c r="M29" i="1" l="1"/>
  <c r="M28" i="1"/>
  <c r="M31" i="1"/>
  <c r="M34" i="1"/>
  <c r="M30" i="1"/>
  <c r="M33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O36" i="1"/>
  <c r="Q35" i="1"/>
  <c r="O37" i="1"/>
  <c r="P36" i="1"/>
  <c r="O35" i="1"/>
  <c r="Q36" i="1"/>
  <c r="Q37" i="1"/>
  <c r="P37" i="1"/>
  <c r="P35" i="1"/>
  <c r="N37" i="1"/>
  <c r="M37" i="1" s="1"/>
  <c r="N36" i="1"/>
  <c r="N35" i="1"/>
  <c r="I17" i="58"/>
  <c r="M35" i="1" l="1"/>
  <c r="L35" i="1" s="1"/>
  <c r="M36" i="1"/>
  <c r="L36" i="1" s="1"/>
  <c r="L37" i="1"/>
  <c r="Q38" i="1"/>
  <c r="K37" i="1"/>
  <c r="I17" i="54"/>
  <c r="I17" i="55"/>
  <c r="O38" i="1" l="1"/>
  <c r="P38" i="1"/>
  <c r="J37" i="1"/>
  <c r="G37" i="1" s="1"/>
  <c r="N38" i="1"/>
  <c r="M38" i="1" s="1"/>
  <c r="K36" i="1"/>
  <c r="I17" i="52"/>
  <c r="L38" i="1" l="1"/>
  <c r="H37" i="1"/>
  <c r="J36" i="1"/>
  <c r="G36" i="1" s="1"/>
  <c r="K38" i="1"/>
  <c r="H36" i="1" l="1"/>
  <c r="J38" i="1"/>
  <c r="G38" i="1" s="1"/>
  <c r="K35" i="1"/>
  <c r="H38" i="1" l="1"/>
  <c r="J35" i="1"/>
  <c r="H35" i="1" s="1"/>
  <c r="G35" i="1" l="1"/>
  <c r="M16" i="1" s="1"/>
  <c r="M15" i="1"/>
  <c r="M14" i="1"/>
  <c r="M18" i="1"/>
  <c r="M19" i="1"/>
  <c r="M17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<sst xmlns="http://schemas.openxmlformats.org/spreadsheetml/2006/main" count="201" uniqueCount="105">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</sst>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42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topLeftCell="B4" zoomScaleNormal="100" workbookViewId="0">
      <selection activeCell="D9" sqref="D9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67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104</v>
      </c>
      <c r="M4" s="59">
        <f t="shared" ref="M4:M13" si="0">COUNTIF(I$28:I$38, "="&amp;L4)</f>
        <v>2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 t="shared" si="0"/>
        <v>2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1</v>
      </c>
    </row>
    <row r="10" spans="3:13" x14ac:dyDescent="0.25">
      <c r="C10" s="38" t="s">
        <v>48</v>
      </c>
      <c r="D10" s="39">
        <v>0.5</v>
      </c>
      <c r="F10" s="116" t="s">
        <v>68</v>
      </c>
      <c r="G10" s="117"/>
      <c r="H10" s="117"/>
      <c r="I10" s="118"/>
      <c r="J10" s="35"/>
      <c r="K10" s="56" t="s">
        <v>22</v>
      </c>
      <c r="L10" s="50" t="s">
        <v>32</v>
      </c>
      <c r="M10" s="59">
        <f t="shared" si="0"/>
        <v>1</v>
      </c>
    </row>
    <row r="11" spans="3:13" x14ac:dyDescent="0.25">
      <c r="C11" s="42" t="s">
        <v>46</v>
      </c>
      <c r="D11" s="43">
        <v>0.4</v>
      </c>
      <c r="F11" s="107" t="s">
        <v>69</v>
      </c>
      <c r="G11" s="108"/>
      <c r="H11" s="108"/>
      <c r="I11" s="109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7" t="s">
        <v>71</v>
      </c>
      <c r="G12" s="108"/>
      <c r="H12" s="108"/>
      <c r="I12" s="109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4" t="s">
        <v>70</v>
      </c>
      <c r="G13" s="105"/>
      <c r="H13" s="105"/>
      <c r="I13" s="106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0.49799999999999989</v>
      </c>
    </row>
    <row r="18" spans="1:17" x14ac:dyDescent="0.25">
      <c r="J18" s="35"/>
      <c r="K18" s="123" t="s">
        <v>41</v>
      </c>
      <c r="L18" s="124"/>
      <c r="M18" s="61">
        <f>AVERAGE(J28:J38)</f>
        <v>0.65469421487603308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0.15534477396390342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>STUDENT_GRADE(J29,K$4:K$13,L$4:L$13)</f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>SUM(N30:Q30)</f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>SUM(N31:Q31)</f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>STUDENT_GRADE(J32,K$4:K$13,L$4:L$13)</f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>SUM(N32:Q32)</f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>STUDENT_GRADE(J33,K$4:K$13,L$4:L$13)</f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>SUM(N33:Q33)</f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>STUDENT_GRADE(J34,K$4:K$13,L$4:L$13)</f>
        <v>B-</v>
      </c>
      <c r="J34" s="89">
        <f t="shared" si="4"/>
        <v>0.63836363636363624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0.67727272727272725</v>
      </c>
      <c r="M34" s="74">
        <f>SUM(N34:Q34)</f>
        <v>74.5</v>
      </c>
      <c r="N34" s="75">
        <f>'Test 1'!I13</f>
        <v>6</v>
      </c>
      <c r="O34" s="75">
        <f>'Test 2'!I13</f>
        <v>9.5000000000000018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>STUDENT_GRADE(J35,K$4:K$13,L$4:L$13)</f>
        <v>A+</v>
      </c>
      <c r="J35" s="89">
        <f t="shared" si="4"/>
        <v>0.8787272727272728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1.0045454545454546</v>
      </c>
      <c r="M35" s="74">
        <f>SUM(N35:Q35)</f>
        <v>110.5</v>
      </c>
      <c r="N35" s="75">
        <f>'Test 1'!I14</f>
        <v>56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>STUDENT_GRADE(J36,K$4:K$13,L$4:L$13)</f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>SUM(N36:Q36)</f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>STUDENT_GRADE(J37,K$4:K$13,L$4:L$13)</f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>SUM(N37:Q37)</f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B+</v>
      </c>
      <c r="J38" s="89">
        <f t="shared" si="4"/>
        <v>0.73418181818181816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0.76363636363636367</v>
      </c>
      <c r="M38" s="74">
        <f>SUM(N38:Q38)</f>
        <v>84</v>
      </c>
      <c r="N38" s="75">
        <f>'Test 1'!I17</f>
        <v>7</v>
      </c>
      <c r="O38" s="75">
        <f>'Test 2'!I17</f>
        <v>16.999999999999996</v>
      </c>
      <c r="P38" s="75">
        <f>'Oral Assignment 1'!I17</f>
        <v>21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41" priority="1425" operator="equal">
      <formula>$L$11</formula>
    </cfRule>
    <cfRule type="cellIs" dxfId="140" priority="1427" operator="equal">
      <formula>$L$9</formula>
    </cfRule>
    <cfRule type="cellIs" dxfId="139" priority="5587" operator="equal">
      <formula>$L$8</formula>
    </cfRule>
    <cfRule type="cellIs" dxfId="138" priority="5589" operator="equal">
      <formula>$L$6</formula>
    </cfRule>
    <cfRule type="cellIs" dxfId="137" priority="5590" operator="equal">
      <formula>$L$5</formula>
    </cfRule>
    <cfRule type="cellIs" dxfId="136" priority="5837" operator="equal">
      <formula>$L$4</formula>
    </cfRule>
  </conditionalFormatting>
  <conditionalFormatting sqref="G28">
    <cfRule type="containsText" dxfId="135" priority="5836" operator="containsText" text="WRITE SUPP">
      <formula>NOT(ISERROR(SEARCH("WRITE SUPP",G28)))</formula>
    </cfRule>
  </conditionalFormatting>
  <conditionalFormatting sqref="K28:K38">
    <cfRule type="containsText" dxfId="134" priority="2255" operator="containsText" text="MISSING MARK">
      <formula>NOT(ISERROR(SEARCH("MISSING MARK",K28)))</formula>
    </cfRule>
    <cfRule type="containsText" dxfId="133" priority="5832" operator="containsText" text="INVALID MARK">
      <formula>NOT(ISERROR(SEARCH("INVALID MARK",K28)))</formula>
    </cfRule>
    <cfRule type="cellIs" dxfId="132" priority="5839" operator="lessThan">
      <formula>$D$12</formula>
    </cfRule>
    <cfRule type="cellIs" priority="5840" operator="greaterThanOrEqual">
      <formula>$D$12</formula>
    </cfRule>
    <cfRule type="expression" dxfId="131" priority="5841">
      <formula>"&gt;=$D$10"</formula>
    </cfRule>
  </conditionalFormatting>
  <conditionalFormatting sqref="N28:N38">
    <cfRule type="containsText" dxfId="130" priority="5833" operator="containsText" text="INVALID MARK">
      <formula>NOT(ISERROR(SEARCH("INVALID MARK",N28)))</formula>
    </cfRule>
    <cfRule type="containsText" dxfId="129" priority="5834" operator="containsText" text="INVALID ENTRY">
      <formula>NOT(ISERROR(SEARCH("INVALID ENTRY",N28)))</formula>
    </cfRule>
    <cfRule type="containsText" dxfId="128" priority="5835" operator="containsText" text="MISSING MARK">
      <formula>NOT(ISERROR(SEARCH("MISSING MARK",N28)))</formula>
    </cfRule>
  </conditionalFormatting>
  <conditionalFormatting sqref="H28">
    <cfRule type="containsText" dxfId="127" priority="5831" operator="containsText" text="FAIL">
      <formula>NOT(ISERROR(SEARCH("FAIL",H28)))</formula>
    </cfRule>
  </conditionalFormatting>
  <conditionalFormatting sqref="I28:I38">
    <cfRule type="cellIs" dxfId="126" priority="1423" operator="equal">
      <formula>$L$13</formula>
    </cfRule>
    <cfRule type="cellIs" dxfId="125" priority="1424" operator="equal">
      <formula>$L$12</formula>
    </cfRule>
    <cfRule type="cellIs" dxfId="124" priority="1426" operator="equal">
      <formula>$L$10</formula>
    </cfRule>
    <cfRule type="cellIs" dxfId="123" priority="5588" operator="equal">
      <formula>$L$7</formula>
    </cfRule>
  </conditionalFormatting>
  <conditionalFormatting sqref="G29:G31">
    <cfRule type="containsText" dxfId="122" priority="2395" operator="containsText" text="WRITE SUPP">
      <formula>NOT(ISERROR(SEARCH("WRITE SUPP",G29)))</formula>
    </cfRule>
  </conditionalFormatting>
  <conditionalFormatting sqref="J28:J37">
    <cfRule type="cellIs" dxfId="121" priority="2397" operator="lessThan">
      <formula>$D$10</formula>
    </cfRule>
  </conditionalFormatting>
  <conditionalFormatting sqref="H29:H31">
    <cfRule type="containsText" dxfId="120" priority="2390" operator="containsText" text="FAIL">
      <formula>NOT(ISERROR(SEARCH("FAIL",H29)))</formula>
    </cfRule>
  </conditionalFormatting>
  <conditionalFormatting sqref="O28">
    <cfRule type="containsText" dxfId="119" priority="2383" operator="containsText" text="INVALID MARK">
      <formula>NOT(ISERROR(SEARCH("INVALID MARK",O28)))</formula>
    </cfRule>
    <cfRule type="containsText" dxfId="118" priority="2384" operator="containsText" text="INVALID ENTRY">
      <formula>NOT(ISERROR(SEARCH("INVALID ENTRY",O28)))</formula>
    </cfRule>
    <cfRule type="containsText" dxfId="117" priority="2385" operator="containsText" text="MISSING MARK">
      <formula>NOT(ISERROR(SEARCH("MISSING MARK",O28)))</formula>
    </cfRule>
  </conditionalFormatting>
  <conditionalFormatting sqref="O29:O31">
    <cfRule type="containsText" dxfId="116" priority="2380" operator="containsText" text="INVALID MARK">
      <formula>NOT(ISERROR(SEARCH("INVALID MARK",O29)))</formula>
    </cfRule>
    <cfRule type="containsText" dxfId="115" priority="2381" operator="containsText" text="INVALID ENTRY">
      <formula>NOT(ISERROR(SEARCH("INVALID ENTRY",O29)))</formula>
    </cfRule>
    <cfRule type="containsText" dxfId="114" priority="2382" operator="containsText" text="MISSING MARK">
      <formula>NOT(ISERROR(SEARCH("MISSING MARK",O29)))</formula>
    </cfRule>
  </conditionalFormatting>
  <conditionalFormatting sqref="P28">
    <cfRule type="containsText" dxfId="113" priority="2377" operator="containsText" text="INVALID MARK">
      <formula>NOT(ISERROR(SEARCH("INVALID MARK",P28)))</formula>
    </cfRule>
    <cfRule type="containsText" dxfId="112" priority="2378" operator="containsText" text="INVALID ENTRY">
      <formula>NOT(ISERROR(SEARCH("INVALID ENTRY",P28)))</formula>
    </cfRule>
    <cfRule type="containsText" dxfId="111" priority="2379" operator="containsText" text="MISSING MARK">
      <formula>NOT(ISERROR(SEARCH("MISSING MARK",P28)))</formula>
    </cfRule>
  </conditionalFormatting>
  <conditionalFormatting sqref="P29:P31">
    <cfRule type="containsText" dxfId="110" priority="2374" operator="containsText" text="INVALID MARK">
      <formula>NOT(ISERROR(SEARCH("INVALID MARK",P29)))</formula>
    </cfRule>
    <cfRule type="containsText" dxfId="109" priority="2375" operator="containsText" text="INVALID ENTRY">
      <formula>NOT(ISERROR(SEARCH("INVALID ENTRY",P29)))</formula>
    </cfRule>
    <cfRule type="containsText" dxfId="108" priority="2376" operator="containsText" text="MISSING MARK">
      <formula>NOT(ISERROR(SEARCH("MISSING MARK",P29)))</formula>
    </cfRule>
  </conditionalFormatting>
  <conditionalFormatting sqref="Q28">
    <cfRule type="containsText" dxfId="107" priority="2365" operator="containsText" text="INVALID MARK">
      <formula>NOT(ISERROR(SEARCH("INVALID MARK",Q28)))</formula>
    </cfRule>
    <cfRule type="containsText" dxfId="106" priority="2366" operator="containsText" text="INVALID ENTRY">
      <formula>NOT(ISERROR(SEARCH("INVALID ENTRY",Q28)))</formula>
    </cfRule>
    <cfRule type="containsText" dxfId="105" priority="2367" operator="containsText" text="MISSING MARK">
      <formula>NOT(ISERROR(SEARCH("MISSING MARK",Q28)))</formula>
    </cfRule>
  </conditionalFormatting>
  <conditionalFormatting sqref="Q29:Q31">
    <cfRule type="containsText" dxfId="104" priority="2362" operator="containsText" text="INVALID MARK">
      <formula>NOT(ISERROR(SEARCH("INVALID MARK",Q29)))</formula>
    </cfRule>
    <cfRule type="containsText" dxfId="103" priority="2363" operator="containsText" text="INVALID ENTRY">
      <formula>NOT(ISERROR(SEARCH("INVALID ENTRY",Q29)))</formula>
    </cfRule>
    <cfRule type="containsText" dxfId="102" priority="2364" operator="containsText" text="MISSING MARK">
      <formula>NOT(ISERROR(SEARCH("MISSING MARK",Q29)))</formula>
    </cfRule>
  </conditionalFormatting>
  <conditionalFormatting sqref="G32:G36">
    <cfRule type="containsText" dxfId="101" priority="2356" operator="containsText" text="WRITE SUPP">
      <formula>NOT(ISERROR(SEARCH("WRITE SUPP",G32)))</formula>
    </cfRule>
  </conditionalFormatting>
  <conditionalFormatting sqref="H32:H36">
    <cfRule type="containsText" dxfId="100" priority="2351" operator="containsText" text="FAIL">
      <formula>NOT(ISERROR(SEARCH("FAIL",H32)))</formula>
    </cfRule>
  </conditionalFormatting>
  <conditionalFormatting sqref="O32:O36">
    <cfRule type="containsText" dxfId="99" priority="2344" operator="containsText" text="INVALID MARK">
      <formula>NOT(ISERROR(SEARCH("INVALID MARK",O32)))</formula>
    </cfRule>
    <cfRule type="containsText" dxfId="98" priority="2345" operator="containsText" text="INVALID ENTRY">
      <formula>NOT(ISERROR(SEARCH("INVALID ENTRY",O32)))</formula>
    </cfRule>
    <cfRule type="containsText" dxfId="97" priority="2346" operator="containsText" text="MISSING MARK">
      <formula>NOT(ISERROR(SEARCH("MISSING MARK",O32)))</formula>
    </cfRule>
  </conditionalFormatting>
  <conditionalFormatting sqref="P32:P36">
    <cfRule type="containsText" dxfId="96" priority="2341" operator="containsText" text="INVALID MARK">
      <formula>NOT(ISERROR(SEARCH("INVALID MARK",P32)))</formula>
    </cfRule>
    <cfRule type="containsText" dxfId="95" priority="2342" operator="containsText" text="INVALID ENTRY">
      <formula>NOT(ISERROR(SEARCH("INVALID ENTRY",P32)))</formula>
    </cfRule>
    <cfRule type="containsText" dxfId="94" priority="2343" operator="containsText" text="MISSING MARK">
      <formula>NOT(ISERROR(SEARCH("MISSING MARK",P32)))</formula>
    </cfRule>
  </conditionalFormatting>
  <conditionalFormatting sqref="Q32:Q36">
    <cfRule type="containsText" dxfId="93" priority="2338" operator="containsText" text="INVALID MARK">
      <formula>NOT(ISERROR(SEARCH("INVALID MARK",Q32)))</formula>
    </cfRule>
    <cfRule type="containsText" dxfId="92" priority="2339" operator="containsText" text="INVALID ENTRY">
      <formula>NOT(ISERROR(SEARCH("INVALID ENTRY",Q32)))</formula>
    </cfRule>
    <cfRule type="containsText" dxfId="91" priority="2340" operator="containsText" text="MISSING MARK">
      <formula>NOT(ISERROR(SEARCH("MISSING MARK",Q32)))</formula>
    </cfRule>
  </conditionalFormatting>
  <conditionalFormatting sqref="G37">
    <cfRule type="containsText" dxfId="90" priority="2323" operator="containsText" text="WRITE SUPP">
      <formula>NOT(ISERROR(SEARCH("WRITE SUPP",G37)))</formula>
    </cfRule>
  </conditionalFormatting>
  <conditionalFormatting sqref="H37">
    <cfRule type="containsText" dxfId="89" priority="2318" operator="containsText" text="FAIL">
      <formula>NOT(ISERROR(SEARCH("FAIL",H37)))</formula>
    </cfRule>
  </conditionalFormatting>
  <conditionalFormatting sqref="O37">
    <cfRule type="containsText" dxfId="88" priority="2311" operator="containsText" text="INVALID MARK">
      <formula>NOT(ISERROR(SEARCH("INVALID MARK",O37)))</formula>
    </cfRule>
    <cfRule type="containsText" dxfId="87" priority="2312" operator="containsText" text="INVALID ENTRY">
      <formula>NOT(ISERROR(SEARCH("INVALID ENTRY",O37)))</formula>
    </cfRule>
    <cfRule type="containsText" dxfId="86" priority="2313" operator="containsText" text="MISSING MARK">
      <formula>NOT(ISERROR(SEARCH("MISSING MARK",O37)))</formula>
    </cfRule>
  </conditionalFormatting>
  <conditionalFormatting sqref="P37">
    <cfRule type="containsText" dxfId="85" priority="2308" operator="containsText" text="INVALID MARK">
      <formula>NOT(ISERROR(SEARCH("INVALID MARK",P37)))</formula>
    </cfRule>
    <cfRule type="containsText" dxfId="84" priority="2309" operator="containsText" text="INVALID ENTRY">
      <formula>NOT(ISERROR(SEARCH("INVALID ENTRY",P37)))</formula>
    </cfRule>
    <cfRule type="containsText" dxfId="83" priority="2310" operator="containsText" text="MISSING MARK">
      <formula>NOT(ISERROR(SEARCH("MISSING MARK",P37)))</formula>
    </cfRule>
  </conditionalFormatting>
  <conditionalFormatting sqref="Q37">
    <cfRule type="containsText" dxfId="82" priority="2305" operator="containsText" text="INVALID MARK">
      <formula>NOT(ISERROR(SEARCH("INVALID MARK",Q37)))</formula>
    </cfRule>
    <cfRule type="containsText" dxfId="81" priority="2306" operator="containsText" text="INVALID ENTRY">
      <formula>NOT(ISERROR(SEARCH("INVALID ENTRY",Q37)))</formula>
    </cfRule>
    <cfRule type="containsText" dxfId="80" priority="2307" operator="containsText" text="MISSING MARK">
      <formula>NOT(ISERROR(SEARCH("MISSING MARK",Q37)))</formula>
    </cfRule>
  </conditionalFormatting>
  <conditionalFormatting sqref="J38">
    <cfRule type="cellIs" dxfId="79" priority="2225" operator="lessThan">
      <formula>$D$10</formula>
    </cfRule>
  </conditionalFormatting>
  <conditionalFormatting sqref="G38">
    <cfRule type="containsText" dxfId="78" priority="2223" operator="containsText" text="WRITE SUPP">
      <formula>NOT(ISERROR(SEARCH("WRITE SUPP",G38)))</formula>
    </cfRule>
  </conditionalFormatting>
  <conditionalFormatting sqref="H38">
    <cfRule type="containsText" dxfId="77" priority="2219" operator="containsText" text="FAIL">
      <formula>NOT(ISERROR(SEARCH("FAIL",H38)))</formula>
    </cfRule>
  </conditionalFormatting>
  <conditionalFormatting sqref="O38">
    <cfRule type="containsText" dxfId="76" priority="2212" operator="containsText" text="INVALID MARK">
      <formula>NOT(ISERROR(SEARCH("INVALID MARK",O38)))</formula>
    </cfRule>
    <cfRule type="containsText" dxfId="75" priority="2213" operator="containsText" text="INVALID ENTRY">
      <formula>NOT(ISERROR(SEARCH("INVALID ENTRY",O38)))</formula>
    </cfRule>
    <cfRule type="containsText" dxfId="74" priority="2214" operator="containsText" text="MISSING MARK">
      <formula>NOT(ISERROR(SEARCH("MISSING MARK",O38)))</formula>
    </cfRule>
  </conditionalFormatting>
  <conditionalFormatting sqref="P38">
    <cfRule type="containsText" dxfId="73" priority="2209" operator="containsText" text="INVALID MARK">
      <formula>NOT(ISERROR(SEARCH("INVALID MARK",P38)))</formula>
    </cfRule>
    <cfRule type="containsText" dxfId="72" priority="2210" operator="containsText" text="INVALID ENTRY">
      <formula>NOT(ISERROR(SEARCH("INVALID ENTRY",P38)))</formula>
    </cfRule>
    <cfRule type="containsText" dxfId="71" priority="2211" operator="containsText" text="MISSING MARK">
      <formula>NOT(ISERROR(SEARCH("MISSING MARK",P38)))</formula>
    </cfRule>
  </conditionalFormatting>
  <conditionalFormatting sqref="Q38">
    <cfRule type="containsText" dxfId="70" priority="2206" operator="containsText" text="INVALID MARK">
      <formula>NOT(ISERROR(SEARCH("INVALID MARK",Q38)))</formula>
    </cfRule>
    <cfRule type="containsText" dxfId="69" priority="2207" operator="containsText" text="INVALID ENTRY">
      <formula>NOT(ISERROR(SEARCH("INVALID ENTRY",Q38)))</formula>
    </cfRule>
    <cfRule type="containsText" dxfId="68" priority="2208" operator="containsText" text="MISSING MARK">
      <formula>NOT(ISERROR(SEARCH("MISSING MARK",Q38)))</formula>
    </cfRule>
  </conditionalFormatting>
  <conditionalFormatting sqref="K28:K38">
    <cfRule type="containsText" dxfId="67" priority="1074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7"/>
        <v>5.6</v>
      </c>
      <c r="I14" s="20">
        <f>IF(ISOVERMAX(L14:U14)=1,"INVALID MARK",IF(ISOVERMAX(L14:U14)=2,"INVALID ENTRY",IF(COUNT(L14:U14)&lt;COUNT(L$6:U$6),"MISSING MARK",(H14-J14)*K$6)))</f>
        <v>56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441" operator="containsText" text="INVALID MARK">
      <formula>NOT(ISERROR(SEARCH("INVALID MARK",I7)))</formula>
    </cfRule>
    <cfRule type="containsText" dxfId="65" priority="442" operator="containsText" text="INVALID ENTRY">
      <formula>NOT(ISERROR(SEARCH("INVALID ENTRY",I7)))</formula>
    </cfRule>
    <cfRule type="containsText" dxfId="64" priority="443" operator="containsText" text="MISSING MARK">
      <formula>NOT(ISERROR(SEARCH("MISSING MARK",I7)))</formula>
    </cfRule>
  </conditionalFormatting>
  <conditionalFormatting sqref="D7">
    <cfRule type="containsText" dxfId="63" priority="271" operator="containsText" text="FAIL">
      <formula>NOT(ISERROR(SEARCH("FAIL",D7)))</formula>
    </cfRule>
    <cfRule type="containsText" dxfId="62" priority="272" operator="containsText" text="PASS">
      <formula>NOT(ISERROR(SEARCH("PASS",D7)))</formula>
    </cfRule>
  </conditionalFormatting>
  <conditionalFormatting sqref="D8:D10">
    <cfRule type="containsText" dxfId="61" priority="256" operator="containsText" text="FAIL">
      <formula>NOT(ISERROR(SEARCH("FAIL",D8)))</formula>
    </cfRule>
    <cfRule type="containsText" dxfId="60" priority="257" operator="containsText" text="PASS">
      <formula>NOT(ISERROR(SEARCH("PASS",D8)))</formula>
    </cfRule>
  </conditionalFormatting>
  <conditionalFormatting sqref="D11:D15">
    <cfRule type="containsText" dxfId="59" priority="251" operator="containsText" text="FAIL">
      <formula>NOT(ISERROR(SEARCH("FAIL",D11)))</formula>
    </cfRule>
    <cfRule type="containsText" dxfId="58" priority="252" operator="containsText" text="PASS">
      <formula>NOT(ISERROR(SEARCH("PASS",D11)))</formula>
    </cfRule>
  </conditionalFormatting>
  <conditionalFormatting sqref="D16">
    <cfRule type="containsText" dxfId="57" priority="246" operator="containsText" text="FAIL">
      <formula>NOT(ISERROR(SEARCH("FAIL",D16)))</formula>
    </cfRule>
    <cfRule type="containsText" dxfId="56" priority="247" operator="containsText" text="PASS">
      <formula>NOT(ISERROR(SEARCH("PASS",D16)))</formula>
    </cfRule>
  </conditionalFormatting>
  <conditionalFormatting sqref="D17">
    <cfRule type="containsText" dxfId="55" priority="226" operator="containsText" text="FAIL">
      <formula>NOT(ISERROR(SEARCH("FAIL",D17)))</formula>
    </cfRule>
    <cfRule type="containsText" dxfId="54" priority="22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0.3666666666666667</v>
      </c>
      <c r="I13" s="20">
        <f>IF(ISOVERMAX(L13:U13)=1,"INVALID MARK",IF(ISOVERMAX(L13:U13)=2,"INVALID ENTRY",IF(COUNT(L13:U13)&lt;COUNT(L$6:U$6),"MISSING MARK",(H13-J13)*K$6)))</f>
        <v>9.5000000000000018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53" priority="263" operator="containsText" text="INVALID MARK">
      <formula>NOT(ISERROR(SEARCH("INVALID MARK",I7)))</formula>
    </cfRule>
    <cfRule type="containsText" dxfId="52" priority="264" operator="containsText" text="INVALID ENTRY">
      <formula>NOT(ISERROR(SEARCH("INVALID ENTRY",I7)))</formula>
    </cfRule>
    <cfRule type="containsText" dxfId="51" priority="265" operator="containsText" text="MISSING MARK">
      <formula>NOT(ISERROR(SEARCH("MISSING MARK",I7)))</formula>
    </cfRule>
  </conditionalFormatting>
  <conditionalFormatting sqref="D7">
    <cfRule type="containsText" dxfId="50" priority="261" operator="containsText" text="FAIL">
      <formula>NOT(ISERROR(SEARCH("FAIL",D7)))</formula>
    </cfRule>
    <cfRule type="containsText" dxfId="49" priority="262" operator="containsText" text="PASS">
      <formula>NOT(ISERROR(SEARCH("PASS",D7)))</formula>
    </cfRule>
  </conditionalFormatting>
  <conditionalFormatting sqref="D8:D10">
    <cfRule type="containsText" dxfId="48" priority="256" operator="containsText" text="FAIL">
      <formula>NOT(ISERROR(SEARCH("FAIL",D8)))</formula>
    </cfRule>
    <cfRule type="containsText" dxfId="47" priority="257" operator="containsText" text="PASS">
      <formula>NOT(ISERROR(SEARCH("PASS",D8)))</formula>
    </cfRule>
  </conditionalFormatting>
  <conditionalFormatting sqref="D11:D15">
    <cfRule type="containsText" dxfId="46" priority="251" operator="containsText" text="FAIL">
      <formula>NOT(ISERROR(SEARCH("FAIL",D11)))</formula>
    </cfRule>
    <cfRule type="containsText" dxfId="45" priority="252" operator="containsText" text="PASS">
      <formula>NOT(ISERROR(SEARCH("PASS",D11)))</formula>
    </cfRule>
  </conditionalFormatting>
  <conditionalFormatting sqref="D16">
    <cfRule type="containsText" dxfId="44" priority="246" operator="containsText" text="FAIL">
      <formula>NOT(ISERROR(SEARCH("FAIL",D16)))</formula>
    </cfRule>
    <cfRule type="containsText" dxfId="43" priority="247" operator="containsText" text="PASS">
      <formula>NOT(ISERROR(SEARCH("PASS",D16)))</formula>
    </cfRule>
  </conditionalFormatting>
  <conditionalFormatting sqref="D17">
    <cfRule type="containsText" dxfId="42" priority="226" operator="containsText" text="FAIL">
      <formula>NOT(ISERROR(SEARCH("FAIL",D17)))</formula>
    </cfRule>
    <cfRule type="containsText" dxfId="41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1"/>
  <sheetViews>
    <sheetView workbookViewId="0">
      <selection activeCell="H24" sqref="H24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1.05</v>
      </c>
      <c r="I17" s="20">
        <f>IF(ISOVERMAX(L17:U17)=1,"INVALID MARK",IF(ISOVERMAX(L17:U17)=2,"INVALID ENTRY",IF(COUNT(L17:U17)&lt;COUNT(L$6:U$6),"MISSING MARK",(H17-J17)*K$6)))</f>
        <v>21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40" priority="263" operator="containsText" text="INVALID MARK">
      <formula>NOT(ISERROR(SEARCH("INVALID MARK",I7)))</formula>
    </cfRule>
    <cfRule type="containsText" dxfId="39" priority="264" operator="containsText" text="INVALID ENTRY">
      <formula>NOT(ISERROR(SEARCH("INVALID ENTRY",I7)))</formula>
    </cfRule>
    <cfRule type="containsText" dxfId="38" priority="265" operator="containsText" text="MISSING MARK">
      <formula>NOT(ISERROR(SEARCH("MISSING MARK",I7)))</formula>
    </cfRule>
  </conditionalFormatting>
  <conditionalFormatting sqref="D7">
    <cfRule type="containsText" dxfId="37" priority="261" operator="containsText" text="FAIL">
      <formula>NOT(ISERROR(SEARCH("FAIL",D7)))</formula>
    </cfRule>
    <cfRule type="containsText" dxfId="36" priority="262" operator="containsText" text="PASS">
      <formula>NOT(ISERROR(SEARCH("PASS",D7)))</formula>
    </cfRule>
  </conditionalFormatting>
  <conditionalFormatting sqref="D8:D10">
    <cfRule type="containsText" dxfId="35" priority="256" operator="containsText" text="FAIL">
      <formula>NOT(ISERROR(SEARCH("FAIL",D8)))</formula>
    </cfRule>
    <cfRule type="containsText" dxfId="34" priority="257" operator="containsText" text="PASS">
      <formula>NOT(ISERROR(SEARCH("PASS",D8)))</formula>
    </cfRule>
  </conditionalFormatting>
  <conditionalFormatting sqref="D11:D15">
    <cfRule type="containsText" dxfId="33" priority="251" operator="containsText" text="FAIL">
      <formula>NOT(ISERROR(SEARCH("FAIL",D11)))</formula>
    </cfRule>
    <cfRule type="containsText" dxfId="32" priority="252" operator="containsText" text="PASS">
      <formula>NOT(ISERROR(SEARCH("PASS",D11)))</formula>
    </cfRule>
  </conditionalFormatting>
  <conditionalFormatting sqref="D16">
    <cfRule type="containsText" dxfId="31" priority="246" operator="containsText" text="FAIL">
      <formula>NOT(ISERROR(SEARCH("FAIL",D16)))</formula>
    </cfRule>
    <cfRule type="containsText" dxfId="30" priority="247" operator="containsText" text="PASS">
      <formula>NOT(ISERROR(SEARCH("PASS",D16)))</formula>
    </cfRule>
  </conditionalFormatting>
  <conditionalFormatting sqref="D17">
    <cfRule type="containsText" dxfId="29" priority="226" operator="containsText" text="FAIL">
      <formula>NOT(ISERROR(SEARCH("FAIL",D17)))</formula>
    </cfRule>
    <cfRule type="containsText" dxfId="28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27" priority="263" operator="containsText" text="INVALID MARK">
      <formula>NOT(ISERROR(SEARCH("INVALID MARK",I7)))</formula>
    </cfRule>
    <cfRule type="containsText" dxfId="26" priority="264" operator="containsText" text="INVALID ENTRY">
      <formula>NOT(ISERROR(SEARCH("INVALID ENTRY",I7)))</formula>
    </cfRule>
    <cfRule type="containsText" dxfId="25" priority="265" operator="containsText" text="MISSING MARK">
      <formula>NOT(ISERROR(SEARCH("MISSING MARK",I7)))</formula>
    </cfRule>
  </conditionalFormatting>
  <conditionalFormatting sqref="D7">
    <cfRule type="containsText" dxfId="24" priority="261" operator="containsText" text="FAIL">
      <formula>NOT(ISERROR(SEARCH("FAIL",D7)))</formula>
    </cfRule>
    <cfRule type="containsText" dxfId="23" priority="262" operator="containsText" text="PASS">
      <formula>NOT(ISERROR(SEARCH("PASS",D7)))</formula>
    </cfRule>
  </conditionalFormatting>
  <conditionalFormatting sqref="D8:D10">
    <cfRule type="containsText" dxfId="22" priority="256" operator="containsText" text="FAIL">
      <formula>NOT(ISERROR(SEARCH("FAIL",D8)))</formula>
    </cfRule>
    <cfRule type="containsText" dxfId="21" priority="257" operator="containsText" text="PASS">
      <formula>NOT(ISERROR(SEARCH("PASS",D8)))</formula>
    </cfRule>
  </conditionalFormatting>
  <conditionalFormatting sqref="D11:D15">
    <cfRule type="containsText" dxfId="20" priority="251" operator="containsText" text="FAIL">
      <formula>NOT(ISERROR(SEARCH("FAIL",D11)))</formula>
    </cfRule>
    <cfRule type="containsText" dxfId="19" priority="252" operator="containsText" text="PASS">
      <formula>NOT(ISERROR(SEARCH("PASS",D11)))</formula>
    </cfRule>
  </conditionalFormatting>
  <conditionalFormatting sqref="D16">
    <cfRule type="containsText" dxfId="18" priority="246" operator="containsText" text="FAIL">
      <formula>NOT(ISERROR(SEARCH("FAIL",D16)))</formula>
    </cfRule>
    <cfRule type="containsText" dxfId="17" priority="247" operator="containsText" text="PASS">
      <formula>NOT(ISERROR(SEARCH("PASS",D16)))</formula>
    </cfRule>
  </conditionalFormatting>
  <conditionalFormatting sqref="D17">
    <cfRule type="containsText" dxfId="16" priority="226" operator="containsText" text="FAIL">
      <formula>NOT(ISERROR(SEARCH("FAIL",D17)))</formula>
    </cfRule>
    <cfRule type="containsText" dxfId="15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546" operator="containsText" text="INVALID MARK">
      <formula>NOT(ISERROR(SEARCH("INVALID MARK",I7)))</formula>
    </cfRule>
    <cfRule type="containsText" dxfId="13" priority="547" operator="containsText" text="INVALID ENTRY">
      <formula>NOT(ISERROR(SEARCH("INVALID ENTRY",I7)))</formula>
    </cfRule>
    <cfRule type="containsText" dxfId="12" priority="548" operator="containsText" text="MISSING MARK">
      <formula>NOT(ISERROR(SEARCH("MISSING MARK",I7)))</formula>
    </cfRule>
  </conditionalFormatting>
  <conditionalFormatting sqref="D7">
    <cfRule type="containsText" dxfId="11" priority="319" operator="containsText" text="FAIL">
      <formula>NOT(ISERROR(SEARCH("FAIL",D7)))</formula>
    </cfRule>
    <cfRule type="containsText" dxfId="10" priority="320" operator="containsText" text="PASS">
      <formula>NOT(ISERROR(SEARCH("PASS",D7)))</formula>
    </cfRule>
  </conditionalFormatting>
  <conditionalFormatting sqref="D8:D10">
    <cfRule type="containsText" dxfId="9" priority="301" operator="containsText" text="FAIL">
      <formula>NOT(ISERROR(SEARCH("FAIL",D8)))</formula>
    </cfRule>
    <cfRule type="containsText" dxfId="8" priority="302" operator="containsText" text="PASS">
      <formula>NOT(ISERROR(SEARCH("PASS",D8)))</formula>
    </cfRule>
  </conditionalFormatting>
  <conditionalFormatting sqref="H7:H16">
    <cfRule type="containsText" dxfId="7" priority="297" operator="containsText" text="INVALID MARK">
      <formula>NOT(ISERROR(SEARCH("INVALID MARK",H7)))</formula>
    </cfRule>
  </conditionalFormatting>
  <conditionalFormatting sqref="D11:D15">
    <cfRule type="containsText" dxfId="6" priority="295" operator="containsText" text="FAIL">
      <formula>NOT(ISERROR(SEARCH("FAIL",D11)))</formula>
    </cfRule>
    <cfRule type="containsText" dxfId="5" priority="296" operator="containsText" text="PASS">
      <formula>NOT(ISERROR(SEARCH("PASS",D11)))</formula>
    </cfRule>
  </conditionalFormatting>
  <conditionalFormatting sqref="D16">
    <cfRule type="containsText" dxfId="4" priority="289" operator="containsText" text="FAIL">
      <formula>NOT(ISERROR(SEARCH("FAIL",D16)))</formula>
    </cfRule>
    <cfRule type="containsText" dxfId="3" priority="290" operator="containsText" text="PASS">
      <formula>NOT(ISERROR(SEARCH("PASS",D16)))</formula>
    </cfRule>
  </conditionalFormatting>
  <conditionalFormatting sqref="H17">
    <cfRule type="containsText" dxfId="2" priority="270" operator="containsText" text="INVALID MARK">
      <formula>NOT(ISERROR(SEARCH("INVALID MARK",H17)))</formula>
    </cfRule>
  </conditionalFormatting>
  <conditionalFormatting sqref="D17">
    <cfRule type="containsText" dxfId="1" priority="265" operator="containsText" text="FAIL">
      <formula>NOT(ISERROR(SEARCH("FAIL",D17)))</formula>
    </cfRule>
    <cfRule type="containsText" dxfId="0" priority="26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2020-10-10T08:25:10Z</dcterms:modified>
</cp:coreProperties>
</file>