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Final Marks" sheetId="1" r:id="rId1"/>
    <sheet name="Test 1" sheetId="54" r:id="rId2"/>
    <sheet name="Test 2" sheetId="55" r:id="rId3"/>
    <sheet name="Oral Assignment 1" sheetId="56" r:id="rId4"/>
    <sheet name="Test 4" sheetId="58" r:id="rId5"/>
    <sheet name="Exam" sheetId="52" r:id="rId6"/>
  </sheets>
  <functionGroups builtInGroupCount="18"/>
  <definedNames>
    <definedName name="_xlnm._FilterDatabase" localSheetId="0" hidden="1">'Final Marks'!$D$27:$N$27</definedName>
  </definedNames>
  <calcPr calcId="152511"/>
</workbook>
</file>

<file path=xl/calcChain.xml><?xml version="1.0" encoding="utf-8"?>
<calcChain xmlns="http://schemas.openxmlformats.org/spreadsheetml/2006/main">
  <c r="J32" i="1" l="1"/>
  <c r="J33" i="1"/>
  <c r="J34" i="1"/>
  <c r="J35" i="1"/>
  <c r="J36" i="1"/>
  <c r="J37" i="1"/>
  <c r="J28" i="1"/>
  <c r="J29" i="1"/>
  <c r="J30" i="1"/>
  <c r="K16" i="52" l="1"/>
  <c r="G16" i="52"/>
  <c r="F16" i="52"/>
  <c r="E16" i="52"/>
  <c r="K16" i="58"/>
  <c r="G16" i="58"/>
  <c r="F16" i="58"/>
  <c r="E16" i="58"/>
  <c r="K16" i="56"/>
  <c r="G16" i="56"/>
  <c r="F16" i="56"/>
  <c r="E16" i="56"/>
  <c r="K16" i="55"/>
  <c r="G16" i="55"/>
  <c r="F16" i="55"/>
  <c r="E16" i="55"/>
  <c r="K16" i="54"/>
  <c r="G16" i="54"/>
  <c r="F16" i="54"/>
  <c r="E16" i="54"/>
  <c r="K15" i="52"/>
  <c r="G15" i="52"/>
  <c r="F15" i="52"/>
  <c r="E15" i="52"/>
  <c r="K14" i="52"/>
  <c r="G14" i="52"/>
  <c r="F14" i="52"/>
  <c r="E14" i="52"/>
  <c r="K13" i="52"/>
  <c r="G13" i="52"/>
  <c r="F13" i="52"/>
  <c r="E13" i="52"/>
  <c r="K12" i="52"/>
  <c r="G12" i="52"/>
  <c r="F12" i="52"/>
  <c r="E12" i="52"/>
  <c r="K11" i="52"/>
  <c r="G11" i="52"/>
  <c r="F11" i="52"/>
  <c r="E11" i="52"/>
  <c r="K15" i="58"/>
  <c r="G15" i="58"/>
  <c r="F15" i="58"/>
  <c r="E15" i="58"/>
  <c r="K14" i="58"/>
  <c r="G14" i="58"/>
  <c r="F14" i="58"/>
  <c r="E14" i="58"/>
  <c r="K13" i="58"/>
  <c r="G13" i="58"/>
  <c r="F13" i="58"/>
  <c r="E13" i="58"/>
  <c r="K12" i="58"/>
  <c r="G12" i="58"/>
  <c r="F12" i="58"/>
  <c r="E12" i="58"/>
  <c r="K11" i="58"/>
  <c r="G11" i="58"/>
  <c r="F11" i="58"/>
  <c r="E11" i="58"/>
  <c r="K15" i="56"/>
  <c r="G15" i="56"/>
  <c r="F15" i="56"/>
  <c r="E15" i="56"/>
  <c r="K14" i="56"/>
  <c r="G14" i="56"/>
  <c r="F14" i="56"/>
  <c r="E14" i="56"/>
  <c r="K13" i="56"/>
  <c r="G13" i="56"/>
  <c r="F13" i="56"/>
  <c r="E13" i="56"/>
  <c r="K12" i="56"/>
  <c r="G12" i="56"/>
  <c r="F12" i="56"/>
  <c r="E12" i="56"/>
  <c r="K11" i="56"/>
  <c r="G11" i="56"/>
  <c r="F11" i="56"/>
  <c r="E11" i="56"/>
  <c r="K15" i="55"/>
  <c r="G15" i="55"/>
  <c r="F15" i="55"/>
  <c r="E15" i="55"/>
  <c r="K14" i="55"/>
  <c r="G14" i="55"/>
  <c r="F14" i="55"/>
  <c r="E14" i="55"/>
  <c r="K13" i="55"/>
  <c r="G13" i="55"/>
  <c r="F13" i="55"/>
  <c r="E13" i="55"/>
  <c r="K12" i="55"/>
  <c r="G12" i="55"/>
  <c r="F12" i="55"/>
  <c r="E12" i="55"/>
  <c r="K11" i="55"/>
  <c r="G11" i="55"/>
  <c r="F11" i="55"/>
  <c r="E11" i="55"/>
  <c r="K15" i="54"/>
  <c r="G15" i="54"/>
  <c r="F15" i="54"/>
  <c r="E15" i="54"/>
  <c r="K14" i="54"/>
  <c r="G14" i="54"/>
  <c r="F14" i="54"/>
  <c r="E14" i="54"/>
  <c r="K13" i="54"/>
  <c r="G13" i="54"/>
  <c r="F13" i="54"/>
  <c r="E13" i="54"/>
  <c r="K12" i="54"/>
  <c r="G12" i="54"/>
  <c r="F12" i="54"/>
  <c r="E12" i="54"/>
  <c r="K11" i="54"/>
  <c r="G11" i="54"/>
  <c r="F11" i="54"/>
  <c r="E11" i="54"/>
  <c r="I15" i="56"/>
  <c r="I13" i="55"/>
  <c r="I14" i="54"/>
  <c r="P36" i="1" l="1"/>
  <c r="O34" i="1"/>
  <c r="N35" i="1"/>
  <c r="K10" i="58"/>
  <c r="G10" i="58"/>
  <c r="F10" i="58"/>
  <c r="E10" i="58"/>
  <c r="K9" i="58"/>
  <c r="G9" i="58"/>
  <c r="F9" i="58"/>
  <c r="E9" i="58"/>
  <c r="K8" i="58"/>
  <c r="G8" i="58"/>
  <c r="F8" i="58"/>
  <c r="E8" i="58"/>
  <c r="K7" i="58"/>
  <c r="G7" i="58"/>
  <c r="F7" i="58"/>
  <c r="E7" i="58"/>
  <c r="K6" i="58"/>
  <c r="H14" i="58" s="1"/>
  <c r="D3" i="58"/>
  <c r="Q25" i="1" s="1"/>
  <c r="K10" i="56"/>
  <c r="G10" i="56"/>
  <c r="F10" i="56"/>
  <c r="E10" i="56"/>
  <c r="K9" i="56"/>
  <c r="G9" i="56"/>
  <c r="F9" i="56"/>
  <c r="E9" i="56"/>
  <c r="K8" i="56"/>
  <c r="G8" i="56"/>
  <c r="F8" i="56"/>
  <c r="E8" i="56"/>
  <c r="K7" i="56"/>
  <c r="G7" i="56"/>
  <c r="F7" i="56"/>
  <c r="E7" i="56"/>
  <c r="K6" i="56"/>
  <c r="H15" i="56" s="1"/>
  <c r="D15" i="56" s="1"/>
  <c r="D3" i="56"/>
  <c r="P25" i="1" s="1"/>
  <c r="K10" i="55"/>
  <c r="G10" i="55"/>
  <c r="F10" i="55"/>
  <c r="E10" i="55"/>
  <c r="K9" i="55"/>
  <c r="G9" i="55"/>
  <c r="F9" i="55"/>
  <c r="E9" i="55"/>
  <c r="K8" i="55"/>
  <c r="G8" i="55"/>
  <c r="F8" i="55"/>
  <c r="E8" i="55"/>
  <c r="K7" i="55"/>
  <c r="G7" i="55"/>
  <c r="F7" i="55"/>
  <c r="E7" i="55"/>
  <c r="K6" i="55"/>
  <c r="D3" i="55"/>
  <c r="O25" i="1" s="1"/>
  <c r="K10" i="52"/>
  <c r="G10" i="52"/>
  <c r="F10" i="52"/>
  <c r="E10" i="52"/>
  <c r="K9" i="52"/>
  <c r="G9" i="52"/>
  <c r="F9" i="52"/>
  <c r="E9" i="52"/>
  <c r="K8" i="52"/>
  <c r="G8" i="52"/>
  <c r="F8" i="52"/>
  <c r="E8" i="52"/>
  <c r="K10" i="54"/>
  <c r="G10" i="54"/>
  <c r="F10" i="54"/>
  <c r="E10" i="54"/>
  <c r="K9" i="54"/>
  <c r="G9" i="54"/>
  <c r="F9" i="54"/>
  <c r="E9" i="54"/>
  <c r="K8" i="54"/>
  <c r="G8" i="54"/>
  <c r="F8" i="54"/>
  <c r="E8" i="54"/>
  <c r="I14" i="58"/>
  <c r="H15" i="58" l="1"/>
  <c r="D15" i="58" s="1"/>
  <c r="H13" i="56"/>
  <c r="H16" i="56"/>
  <c r="D16" i="56" s="1"/>
  <c r="H11" i="56"/>
  <c r="D11" i="56" s="1"/>
  <c r="H13" i="55"/>
  <c r="D13" i="55" s="1"/>
  <c r="H15" i="55"/>
  <c r="H13" i="58"/>
  <c r="H16" i="58"/>
  <c r="H11" i="58"/>
  <c r="D11" i="58" s="1"/>
  <c r="H12" i="58"/>
  <c r="D12" i="58" s="1"/>
  <c r="H14" i="56"/>
  <c r="D14" i="56" s="1"/>
  <c r="H12" i="56"/>
  <c r="D12" i="56" s="1"/>
  <c r="H12" i="55"/>
  <c r="D12" i="55" s="1"/>
  <c r="H14" i="55"/>
  <c r="D14" i="55" s="1"/>
  <c r="H16" i="55"/>
  <c r="H11" i="55"/>
  <c r="D11" i="55" s="1"/>
  <c r="Q35" i="1"/>
  <c r="D14" i="58"/>
  <c r="H9" i="58"/>
  <c r="H7" i="55"/>
  <c r="H9" i="55"/>
  <c r="H7" i="58"/>
  <c r="I6" i="58"/>
  <c r="Q27" i="1" s="1"/>
  <c r="H8" i="58"/>
  <c r="H10" i="58"/>
  <c r="H10" i="56"/>
  <c r="H7" i="56"/>
  <c r="H9" i="56"/>
  <c r="H8" i="56"/>
  <c r="I6" i="56"/>
  <c r="P27" i="1" s="1"/>
  <c r="I6" i="55"/>
  <c r="O27" i="1" s="1"/>
  <c r="H8" i="55"/>
  <c r="H10" i="55"/>
  <c r="G3" i="52"/>
  <c r="I16" i="58"/>
  <c r="I7" i="58"/>
  <c r="I10" i="58"/>
  <c r="I15" i="58"/>
  <c r="I12" i="58"/>
  <c r="I9" i="58"/>
  <c r="I8" i="58"/>
  <c r="I11" i="58"/>
  <c r="I13" i="58"/>
  <c r="I9" i="56"/>
  <c r="I14" i="56"/>
  <c r="I12" i="56"/>
  <c r="I11" i="56"/>
  <c r="I13" i="56"/>
  <c r="I7" i="56"/>
  <c r="I8" i="56"/>
  <c r="I16" i="56"/>
  <c r="I10" i="56"/>
  <c r="I15" i="55"/>
  <c r="I12" i="55"/>
  <c r="I7" i="55"/>
  <c r="I9" i="55"/>
  <c r="I10" i="55"/>
  <c r="I8" i="55"/>
  <c r="I14" i="55"/>
  <c r="I16" i="55"/>
  <c r="I11" i="55"/>
  <c r="Q36" i="1" l="1"/>
  <c r="P34" i="1"/>
  <c r="P32" i="1"/>
  <c r="P37" i="1"/>
  <c r="D13" i="56"/>
  <c r="O36" i="1"/>
  <c r="D15" i="55"/>
  <c r="Q37" i="1"/>
  <c r="Q34" i="1"/>
  <c r="Q32" i="1"/>
  <c r="Q33" i="1"/>
  <c r="D16" i="58"/>
  <c r="D13" i="58"/>
  <c r="P33" i="1"/>
  <c r="P35" i="1"/>
  <c r="O37" i="1"/>
  <c r="O35" i="1"/>
  <c r="O33" i="1"/>
  <c r="O32" i="1"/>
  <c r="D16" i="55"/>
  <c r="Q30" i="1"/>
  <c r="D9" i="58"/>
  <c r="O28" i="1"/>
  <c r="D7" i="55"/>
  <c r="O30" i="1"/>
  <c r="D9" i="55"/>
  <c r="Q31" i="1"/>
  <c r="D10" i="58"/>
  <c r="Q29" i="1"/>
  <c r="D8" i="58"/>
  <c r="Q28" i="1"/>
  <c r="D7" i="58"/>
  <c r="O31" i="1"/>
  <c r="D10" i="55"/>
  <c r="O29" i="1"/>
  <c r="D8" i="55"/>
  <c r="P31" i="1"/>
  <c r="D10" i="56"/>
  <c r="P30" i="1"/>
  <c r="D9" i="56"/>
  <c r="P29" i="1"/>
  <c r="D8" i="56"/>
  <c r="P28" i="1"/>
  <c r="D7" i="56"/>
  <c r="K7" i="52"/>
  <c r="G7" i="52"/>
  <c r="F7" i="52"/>
  <c r="E7" i="52"/>
  <c r="K7" i="54"/>
  <c r="G7" i="54"/>
  <c r="F7" i="54"/>
  <c r="E7" i="54"/>
  <c r="M35" i="1" l="1"/>
  <c r="N27" i="1"/>
  <c r="M27" i="1" l="1"/>
  <c r="N26" i="1" s="1"/>
  <c r="K6" i="54"/>
  <c r="D3" i="54"/>
  <c r="N25" i="1" s="1"/>
  <c r="O26" i="1" l="1"/>
  <c r="Q26" i="1"/>
  <c r="P26" i="1"/>
  <c r="L35" i="1"/>
  <c r="H16" i="54"/>
  <c r="D16" i="54"/>
  <c r="H13" i="54"/>
  <c r="H15" i="54"/>
  <c r="H14" i="54"/>
  <c r="D14" i="54" s="1"/>
  <c r="H11" i="54"/>
  <c r="H12" i="54"/>
  <c r="H9" i="54"/>
  <c r="H8" i="54"/>
  <c r="H10" i="54"/>
  <c r="H7" i="54"/>
  <c r="D7" i="54" s="1"/>
  <c r="I6" i="54"/>
  <c r="I15" i="54"/>
  <c r="I8" i="54"/>
  <c r="I13" i="54"/>
  <c r="I11" i="54"/>
  <c r="I9" i="54"/>
  <c r="I10" i="54"/>
  <c r="I16" i="54"/>
  <c r="I12" i="54"/>
  <c r="N37" i="1" l="1"/>
  <c r="M37" i="1" s="1"/>
  <c r="L37" i="1" s="1"/>
  <c r="N36" i="1"/>
  <c r="M36" i="1" s="1"/>
  <c r="L36" i="1" s="1"/>
  <c r="D15" i="54"/>
  <c r="N34" i="1"/>
  <c r="M34" i="1" s="1"/>
  <c r="D13" i="54"/>
  <c r="N33" i="1"/>
  <c r="M33" i="1" s="1"/>
  <c r="L33" i="1" s="1"/>
  <c r="N32" i="1"/>
  <c r="M32" i="1" s="1"/>
  <c r="L32" i="1" s="1"/>
  <c r="D12" i="54"/>
  <c r="D11" i="54"/>
  <c r="N31" i="1"/>
  <c r="N29" i="1"/>
  <c r="N30" i="1"/>
  <c r="D10" i="54"/>
  <c r="D8" i="54"/>
  <c r="D9" i="54"/>
  <c r="K6" i="52"/>
  <c r="H16" i="52"/>
  <c r="H12" i="52"/>
  <c r="I12" i="52" s="1"/>
  <c r="H8" i="52"/>
  <c r="I8" i="52" s="1"/>
  <c r="H10" i="52"/>
  <c r="H11" i="52"/>
  <c r="I11" i="52" s="1"/>
  <c r="I16" i="52"/>
  <c r="H15" i="52"/>
  <c r="H9" i="52"/>
  <c r="I9" i="52" s="1"/>
  <c r="H14" i="52"/>
  <c r="H13" i="52"/>
  <c r="K30" i="1" l="1"/>
  <c r="K37" i="1"/>
  <c r="K32" i="1"/>
  <c r="K29" i="1"/>
  <c r="K33" i="1"/>
  <c r="D16" i="52"/>
  <c r="L34" i="1"/>
  <c r="D14" i="52"/>
  <c r="D15" i="52"/>
  <c r="D12" i="52"/>
  <c r="H32" i="1"/>
  <c r="D11" i="52"/>
  <c r="D13" i="52"/>
  <c r="M30" i="1"/>
  <c r="L30" i="1" s="1"/>
  <c r="M29" i="1"/>
  <c r="L29" i="1" s="1"/>
  <c r="M31" i="1"/>
  <c r="L31" i="1" s="1"/>
  <c r="D9" i="52"/>
  <c r="D8" i="52"/>
  <c r="I6" i="52"/>
  <c r="G5" i="52"/>
  <c r="F5" i="52"/>
  <c r="E5" i="52"/>
  <c r="D3" i="52"/>
  <c r="I15" i="52"/>
  <c r="I7" i="54"/>
  <c r="I14" i="52"/>
  <c r="I13" i="52"/>
  <c r="K36" i="1" l="1"/>
  <c r="I36" i="1" s="1"/>
  <c r="K35" i="1"/>
  <c r="I35" i="1" s="1"/>
  <c r="K34" i="1"/>
  <c r="H34" i="1" s="1"/>
  <c r="I37" i="1"/>
  <c r="H33" i="1"/>
  <c r="I33" i="1"/>
  <c r="G33" i="1"/>
  <c r="I32" i="1"/>
  <c r="I29" i="1"/>
  <c r="I30" i="1"/>
  <c r="H30" i="1"/>
  <c r="N28" i="1"/>
  <c r="M28" i="1" s="1"/>
  <c r="G37" i="1" l="1"/>
  <c r="H37" i="1"/>
  <c r="G32" i="1"/>
  <c r="H36" i="1"/>
  <c r="H35" i="1"/>
  <c r="I34" i="1"/>
  <c r="G36" i="1"/>
  <c r="G34" i="1"/>
  <c r="G35" i="1"/>
  <c r="G30" i="1"/>
  <c r="G29" i="1"/>
  <c r="H29" i="1"/>
  <c r="L28" i="1"/>
  <c r="H7" i="52"/>
  <c r="D7" i="52" l="1"/>
  <c r="I7" i="52"/>
  <c r="K28" i="1" l="1"/>
  <c r="G28" i="1" l="1"/>
  <c r="H28" i="1"/>
  <c r="I28" i="1"/>
  <c r="D10" i="52"/>
  <c r="I10" i="52"/>
  <c r="K31" i="1" l="1"/>
  <c r="J31" i="1" s="1"/>
  <c r="M18" i="1" l="1"/>
  <c r="M19" i="1"/>
  <c r="M17" i="1"/>
  <c r="I31" i="1"/>
  <c r="H31" i="1"/>
  <c r="G31" i="1"/>
  <c r="M16" i="1" s="1"/>
  <c r="M14" i="1" l="1"/>
  <c r="M15" i="1"/>
  <c r="M9" i="1"/>
  <c r="M4" i="1"/>
  <c r="M11" i="1"/>
  <c r="M12" i="1"/>
  <c r="M7" i="1"/>
  <c r="M8" i="1"/>
  <c r="M10" i="1"/>
  <c r="M6" i="1"/>
  <c r="M5" i="1"/>
  <c r="M13" i="1"/>
</calcChain>
</file>

<file path=xl/sharedStrings.xml><?xml version="1.0" encoding="utf-8"?>
<sst xmlns="http://schemas.openxmlformats.org/spreadsheetml/2006/main" count="199" uniqueCount="103">
  <si>
    <t>Final Mark</t>
  </si>
  <si>
    <t>Student Name</t>
  </si>
  <si>
    <t>Student Number</t>
  </si>
  <si>
    <t>Student Surname</t>
  </si>
  <si>
    <t>Final Exam (%)</t>
  </si>
  <si>
    <t>Totals:</t>
  </si>
  <si>
    <t>Test Name:</t>
  </si>
  <si>
    <t>Deductions</t>
  </si>
  <si>
    <t>Final Percentage</t>
  </si>
  <si>
    <t>Final Mark (%)</t>
  </si>
  <si>
    <t>Final Mark (Before Deductions)</t>
  </si>
  <si>
    <t>Percentage of Final Mark:</t>
  </si>
  <si>
    <t>Date:</t>
  </si>
  <si>
    <t>Lecturer:</t>
  </si>
  <si>
    <t>Subject Code:</t>
  </si>
  <si>
    <t>Subject:</t>
  </si>
  <si>
    <t>80-100%</t>
  </si>
  <si>
    <t>75-79%</t>
  </si>
  <si>
    <t>70-74%</t>
  </si>
  <si>
    <t>65-69%</t>
  </si>
  <si>
    <t>60-64%</t>
  </si>
  <si>
    <t>55-59%</t>
  </si>
  <si>
    <t>50-54%</t>
  </si>
  <si>
    <t>45-49%</t>
  </si>
  <si>
    <t># of students</t>
  </si>
  <si>
    <t>Grade</t>
  </si>
  <si>
    <t>% Range</t>
  </si>
  <si>
    <t># of passes:</t>
  </si>
  <si>
    <t># of fails:</t>
  </si>
  <si>
    <t>0-39%</t>
  </si>
  <si>
    <t>40-44%</t>
  </si>
  <si>
    <t>A</t>
  </si>
  <si>
    <t>C</t>
  </si>
  <si>
    <t>A-</t>
  </si>
  <si>
    <t>B+</t>
  </si>
  <si>
    <t>C+</t>
  </si>
  <si>
    <t>C-</t>
  </si>
  <si>
    <t>D</t>
  </si>
  <si>
    <t>B-</t>
  </si>
  <si>
    <t>F</t>
  </si>
  <si>
    <t>Supp. Exams:</t>
  </si>
  <si>
    <t>Range:</t>
  </si>
  <si>
    <t>Average:</t>
  </si>
  <si>
    <t>Std Deviation:</t>
  </si>
  <si>
    <t>Exam Subminimum:</t>
  </si>
  <si>
    <t>Pass?</t>
  </si>
  <si>
    <t>Supp. Exam</t>
  </si>
  <si>
    <t>Final Mark Sup. Threshold:</t>
  </si>
  <si>
    <t>Exam Sup. Threshold:</t>
  </si>
  <si>
    <t>Final Mark Subminimum:</t>
  </si>
  <si>
    <t>Semester Work Mark</t>
  </si>
  <si>
    <t>B</t>
  </si>
  <si>
    <t>Number of Students:</t>
  </si>
  <si>
    <t>Number of Tests:</t>
  </si>
  <si>
    <t>Totals Marks:</t>
  </si>
  <si>
    <t>Semester Work (%)</t>
  </si>
  <si>
    <t xml:space="preserve">Section 1 </t>
  </si>
  <si>
    <t xml:space="preserve">Section 2 </t>
  </si>
  <si>
    <t>Section 3</t>
  </si>
  <si>
    <t>Section 4</t>
  </si>
  <si>
    <t>Section 5</t>
  </si>
  <si>
    <t>Section 6</t>
  </si>
  <si>
    <t>Section 7</t>
  </si>
  <si>
    <t>Section 8</t>
  </si>
  <si>
    <t>Section 9</t>
  </si>
  <si>
    <t>Section 10</t>
  </si>
  <si>
    <t>Set the # of students you have in your class</t>
  </si>
  <si>
    <t>Set the # of tests/assignments you have</t>
  </si>
  <si>
    <t>Some helpful instructions</t>
  </si>
  <si>
    <t>Minimum final mark to pass the course</t>
  </si>
  <si>
    <t>Minimum final mark to write the sup. exam</t>
  </si>
  <si>
    <t>Minimum exam mark to write the sup. exam</t>
  </si>
  <si>
    <t>Minimum exam mark to pass the course</t>
  </si>
  <si>
    <t>Rubric:</t>
  </si>
  <si>
    <t xml:space="preserve">Example rubric for section 1 </t>
  </si>
  <si>
    <t>Test Subminimum:</t>
  </si>
  <si>
    <t>If this assessment does not have a subminimum, leave this as 0%</t>
  </si>
  <si>
    <t>Press this button if the program no longer registers your number of tests and students inputs</t>
  </si>
  <si>
    <t>Example</t>
  </si>
  <si>
    <t>Student</t>
  </si>
  <si>
    <t>01234</t>
  </si>
  <si>
    <t>Diligent</t>
  </si>
  <si>
    <t>Failing</t>
  </si>
  <si>
    <t>54321</t>
  </si>
  <si>
    <t>13450</t>
  </si>
  <si>
    <t>05020</t>
  </si>
  <si>
    <t>I Am</t>
  </si>
  <si>
    <t>Just</t>
  </si>
  <si>
    <t>Passing</t>
  </si>
  <si>
    <t>Getting A</t>
  </si>
  <si>
    <t>Supp</t>
  </si>
  <si>
    <r>
      <t>Stude</t>
    </r>
    <r>
      <rPr>
        <sz val="11"/>
        <color rgb="FF333333"/>
        <rFont val="Calibri"/>
        <family val="2"/>
        <scheme val="minor"/>
      </rPr>
      <t>nt</t>
    </r>
  </si>
  <si>
    <t>60254</t>
  </si>
  <si>
    <t>Also Getting</t>
  </si>
  <si>
    <t>A Supp</t>
  </si>
  <si>
    <t>01010</t>
  </si>
  <si>
    <t>Invalid</t>
  </si>
  <si>
    <t>Mark</t>
  </si>
  <si>
    <t>Missing</t>
  </si>
  <si>
    <t>98350</t>
  </si>
  <si>
    <t>10425</t>
  </si>
  <si>
    <t>Another Invalid</t>
  </si>
  <si>
    <t>54263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</si>
</sst>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sz val="11"/>
      <color rgb="FF33333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ABF34B"/>
        <bgColor indexed="64"/>
      </patternFill>
    </fill>
    <fill>
      <patternFill patternType="solid">
        <fgColor rgb="FFDFF34B"/>
        <bgColor indexed="64"/>
      </patternFill>
    </fill>
    <fill>
      <patternFill patternType="solid">
        <fgColor rgb="FFF3EB4B"/>
        <bgColor indexed="64"/>
      </patternFill>
    </fill>
    <fill>
      <patternFill patternType="solid">
        <fgColor rgb="FFF3AB4B"/>
        <bgColor indexed="64"/>
      </patternFill>
    </fill>
    <fill>
      <patternFill patternType="solid">
        <fgColor rgb="FFF36B4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4" borderId="15" applyNumberFormat="0" applyFon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32">
    <xf numFmtId="0" fontId="0" fillId="0" borderId="0" xfId="0"/>
    <xf numFmtId="0" fontId="2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right"/>
    </xf>
    <xf numFmtId="0" fontId="3" fillId="0" borderId="0" xfId="1" applyNumberFormat="1" applyFont="1" applyAlignment="1">
      <alignment horizontal="center"/>
    </xf>
    <xf numFmtId="0" fontId="3" fillId="0" borderId="0" xfId="1" applyNumberFormat="1" applyFont="1" applyAlignment="1">
      <alignment horizontal="center" vertical="center"/>
    </xf>
    <xf numFmtId="9" fontId="3" fillId="0" borderId="0" xfId="1" applyFont="1" applyAlignment="1">
      <alignment horizontal="center"/>
    </xf>
    <xf numFmtId="0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2" fillId="0" borderId="0" xfId="0" applyFont="1" applyAlignment="1">
      <alignment horizontal="right"/>
    </xf>
    <xf numFmtId="9" fontId="2" fillId="2" borderId="2" xfId="1" applyFont="1" applyFill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 vertical="center"/>
    </xf>
    <xf numFmtId="0" fontId="2" fillId="2" borderId="12" xfId="0" applyFont="1" applyFill="1" applyBorder="1" applyAlignment="1">
      <alignment horizontal="right"/>
    </xf>
    <xf numFmtId="0" fontId="2" fillId="2" borderId="1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right"/>
    </xf>
    <xf numFmtId="0" fontId="2" fillId="3" borderId="1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46" fontId="0" fillId="0" borderId="0" xfId="0" applyNumberFormat="1"/>
    <xf numFmtId="0" fontId="3" fillId="0" borderId="0" xfId="1" applyNumberFormat="1" applyFont="1" applyBorder="1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1" xfId="0" applyBorder="1" applyAlignment="1"/>
    <xf numFmtId="0" fontId="1" fillId="7" borderId="7" xfId="5" applyBorder="1" applyAlignment="1">
      <alignment horizontal="right"/>
    </xf>
    <xf numFmtId="9" fontId="1" fillId="7" borderId="7" xfId="5" applyNumberFormat="1" applyBorder="1" applyAlignment="1">
      <alignment horizontal="center" vertical="center"/>
    </xf>
    <xf numFmtId="0" fontId="1" fillId="7" borderId="8" xfId="5" applyBorder="1" applyAlignment="1">
      <alignment horizontal="right"/>
    </xf>
    <xf numFmtId="9" fontId="1" fillId="7" borderId="8" xfId="5" applyNumberFormat="1" applyBorder="1" applyAlignment="1">
      <alignment horizontal="center" vertical="center"/>
    </xf>
    <xf numFmtId="0" fontId="1" fillId="6" borderId="8" xfId="4" applyBorder="1" applyAlignment="1">
      <alignment horizontal="right"/>
    </xf>
    <xf numFmtId="9" fontId="1" fillId="6" borderId="8" xfId="4" applyNumberFormat="1" applyBorder="1" applyAlignment="1">
      <alignment horizontal="center" vertical="center"/>
    </xf>
    <xf numFmtId="0" fontId="1" fillId="6" borderId="6" xfId="4" applyBorder="1" applyAlignment="1">
      <alignment horizontal="right"/>
    </xf>
    <xf numFmtId="9" fontId="1" fillId="6" borderId="6" xfId="4" applyNumberFormat="1" applyBorder="1" applyAlignment="1">
      <alignment horizontal="center" vertical="center"/>
    </xf>
    <xf numFmtId="0" fontId="6" fillId="5" borderId="12" xfId="3" applyBorder="1" applyAlignment="1">
      <alignment horizontal="center"/>
    </xf>
    <xf numFmtId="0" fontId="6" fillId="5" borderId="3" xfId="3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1" fillId="6" borderId="11" xfId="4" applyBorder="1" applyAlignment="1">
      <alignment horizontal="center"/>
    </xf>
    <xf numFmtId="0" fontId="1" fillId="6" borderId="13" xfId="4" applyBorder="1" applyAlignment="1">
      <alignment horizontal="center"/>
    </xf>
    <xf numFmtId="10" fontId="1" fillId="6" borderId="11" xfId="4" applyNumberFormat="1" applyBorder="1" applyAlignment="1">
      <alignment horizontal="center"/>
    </xf>
    <xf numFmtId="10" fontId="1" fillId="6" borderId="5" xfId="4" applyNumberFormat="1" applyBorder="1" applyAlignment="1">
      <alignment horizontal="center"/>
    </xf>
    <xf numFmtId="0" fontId="2" fillId="7" borderId="12" xfId="5" applyFont="1" applyBorder="1" applyAlignment="1">
      <alignment horizontal="center"/>
    </xf>
    <xf numFmtId="0" fontId="2" fillId="7" borderId="2" xfId="5" applyFont="1" applyBorder="1" applyAlignment="1">
      <alignment horizontal="center"/>
    </xf>
    <xf numFmtId="0" fontId="2" fillId="7" borderId="2" xfId="5" applyNumberFormat="1" applyFont="1" applyBorder="1" applyAlignment="1">
      <alignment horizontal="center"/>
    </xf>
    <xf numFmtId="0" fontId="1" fillId="7" borderId="3" xfId="5" applyBorder="1"/>
    <xf numFmtId="0" fontId="1" fillId="6" borderId="5" xfId="4" applyBorder="1"/>
    <xf numFmtId="0" fontId="1" fillId="7" borderId="5" xfId="5" applyBorder="1"/>
    <xf numFmtId="0" fontId="2" fillId="3" borderId="2" xfId="1" applyNumberFormat="1" applyFont="1" applyFill="1" applyBorder="1" applyAlignment="1">
      <alignment horizontal="center"/>
    </xf>
    <xf numFmtId="0" fontId="2" fillId="7" borderId="34" xfId="5" applyFont="1" applyBorder="1" applyAlignment="1">
      <alignment horizontal="center"/>
    </xf>
    <xf numFmtId="9" fontId="2" fillId="2" borderId="34" xfId="1" applyFont="1" applyFill="1" applyBorder="1" applyAlignment="1">
      <alignment horizontal="center"/>
    </xf>
    <xf numFmtId="9" fontId="2" fillId="3" borderId="34" xfId="1" applyFont="1" applyFill="1" applyBorder="1" applyAlignment="1">
      <alignment horizontal="center"/>
    </xf>
    <xf numFmtId="0" fontId="0" fillId="0" borderId="0" xfId="4" applyNumberFormat="1" applyFont="1" applyFill="1" applyAlignment="1">
      <alignment horizontal="center" vertical="center"/>
    </xf>
    <xf numFmtId="0" fontId="1" fillId="0" borderId="0" xfId="4" applyFill="1" applyBorder="1" applyAlignment="1">
      <alignment horizontal="center"/>
    </xf>
    <xf numFmtId="0" fontId="1" fillId="0" borderId="0" xfId="4" applyNumberFormat="1" applyFill="1" applyBorder="1" applyAlignment="1">
      <alignment horizontal="center"/>
    </xf>
    <xf numFmtId="0" fontId="4" fillId="2" borderId="1" xfId="1" applyNumberFormat="1" applyFont="1" applyFill="1" applyBorder="1" applyAlignment="1">
      <alignment horizontal="right"/>
    </xf>
    <xf numFmtId="0" fontId="3" fillId="2" borderId="2" xfId="1" applyNumberFormat="1" applyFont="1" applyFill="1" applyBorder="1" applyAlignment="1">
      <alignment horizontal="center"/>
    </xf>
    <xf numFmtId="9" fontId="3" fillId="2" borderId="2" xfId="1" applyFont="1" applyFill="1" applyBorder="1" applyAlignment="1">
      <alignment horizontal="center"/>
    </xf>
    <xf numFmtId="0" fontId="3" fillId="2" borderId="1" xfId="1" applyNumberFormat="1" applyFont="1" applyFill="1" applyBorder="1" applyAlignment="1">
      <alignment horizontal="center" vertical="center"/>
    </xf>
    <xf numFmtId="0" fontId="3" fillId="2" borderId="12" xfId="1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2" fillId="7" borderId="2" xfId="5" applyNumberFormat="1" applyFont="1" applyBorder="1" applyAlignment="1">
      <alignment horizontal="center"/>
    </xf>
    <xf numFmtId="0" fontId="2" fillId="7" borderId="2" xfId="5" applyNumberFormat="1" applyFont="1" applyBorder="1" applyAlignment="1">
      <alignment horizontal="center" vertical="center"/>
    </xf>
    <xf numFmtId="9" fontId="2" fillId="7" borderId="1" xfId="5" applyNumberFormat="1" applyFont="1" applyBorder="1" applyAlignment="1">
      <alignment horizontal="center" vertical="center"/>
    </xf>
    <xf numFmtId="0" fontId="2" fillId="7" borderId="14" xfId="5" applyNumberFormat="1" applyFont="1" applyBorder="1" applyAlignment="1">
      <alignment horizontal="center" vertical="center"/>
    </xf>
    <xf numFmtId="0" fontId="2" fillId="7" borderId="14" xfId="5" applyFont="1" applyBorder="1" applyAlignment="1">
      <alignment horizontal="center" vertical="center"/>
    </xf>
    <xf numFmtId="0" fontId="2" fillId="7" borderId="2" xfId="5" applyFont="1" applyBorder="1" applyAlignment="1">
      <alignment horizontal="center" vertical="center"/>
    </xf>
    <xf numFmtId="49" fontId="0" fillId="0" borderId="0" xfId="4" applyNumberFormat="1" applyFont="1" applyFill="1" applyBorder="1" applyAlignment="1">
      <alignment horizontal="center" vertical="center"/>
    </xf>
    <xf numFmtId="10" fontId="1" fillId="0" borderId="0" xfId="4" applyNumberFormat="1" applyFill="1" applyBorder="1" applyAlignment="1">
      <alignment horizontal="center"/>
    </xf>
    <xf numFmtId="0" fontId="0" fillId="7" borderId="5" xfId="5" applyFont="1" applyBorder="1"/>
    <xf numFmtId="0" fontId="0" fillId="6" borderId="5" xfId="4" applyFont="1" applyBorder="1"/>
    <xf numFmtId="0" fontId="0" fillId="0" borderId="12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8" fillId="0" borderId="1" xfId="1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0" fontId="2" fillId="2" borderId="2" xfId="1" applyNumberFormat="1" applyFont="1" applyFill="1" applyBorder="1" applyAlignment="1">
      <alignment horizontal="center"/>
    </xf>
    <xf numFmtId="0" fontId="2" fillId="7" borderId="38" xfId="5" applyFont="1" applyBorder="1" applyAlignment="1">
      <alignment horizontal="center"/>
    </xf>
    <xf numFmtId="9" fontId="2" fillId="2" borderId="38" xfId="1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/>
    </xf>
    <xf numFmtId="0" fontId="1" fillId="7" borderId="9" xfId="5" applyBorder="1" applyAlignment="1">
      <alignment horizontal="center"/>
    </xf>
    <xf numFmtId="0" fontId="1" fillId="7" borderId="5" xfId="5" applyBorder="1" applyAlignment="1">
      <alignment horizontal="center"/>
    </xf>
    <xf numFmtId="0" fontId="1" fillId="7" borderId="10" xfId="5" applyBorder="1" applyAlignment="1">
      <alignment horizontal="center"/>
    </xf>
    <xf numFmtId="0" fontId="1" fillId="7" borderId="13" xfId="5" applyBorder="1" applyAlignment="1">
      <alignment horizontal="center"/>
    </xf>
    <xf numFmtId="0" fontId="1" fillId="7" borderId="4" xfId="5" applyBorder="1" applyAlignment="1">
      <alignment horizontal="center"/>
    </xf>
    <xf numFmtId="0" fontId="1" fillId="7" borderId="11" xfId="5" applyBorder="1" applyAlignment="1">
      <alignment horizontal="center"/>
    </xf>
    <xf numFmtId="0" fontId="0" fillId="0" borderId="10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37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13" borderId="28" xfId="2" applyFont="1" applyFill="1" applyBorder="1" applyAlignment="1">
      <alignment horizontal="center" vertical="center"/>
    </xf>
    <xf numFmtId="0" fontId="0" fillId="13" borderId="29" xfId="2" applyFont="1" applyFill="1" applyBorder="1" applyAlignment="1">
      <alignment horizontal="center" vertical="center"/>
    </xf>
    <xf numFmtId="0" fontId="0" fillId="13" borderId="30" xfId="2" applyFont="1" applyFill="1" applyBorder="1" applyAlignment="1">
      <alignment horizontal="center" vertical="center"/>
    </xf>
    <xf numFmtId="0" fontId="0" fillId="13" borderId="26" xfId="2" applyFont="1" applyFill="1" applyBorder="1" applyAlignment="1">
      <alignment horizontal="center" vertical="center"/>
    </xf>
    <xf numFmtId="0" fontId="0" fillId="13" borderId="16" xfId="2" applyFont="1" applyFill="1" applyBorder="1" applyAlignment="1">
      <alignment horizontal="center" vertical="center"/>
    </xf>
    <xf numFmtId="0" fontId="0" fillId="13" borderId="27" xfId="2" applyFont="1" applyFill="1" applyBorder="1" applyAlignment="1">
      <alignment horizontal="center" vertical="center"/>
    </xf>
    <xf numFmtId="0" fontId="2" fillId="13" borderId="21" xfId="2" applyFont="1" applyFill="1" applyBorder="1" applyAlignment="1">
      <alignment horizontal="center" vertical="center"/>
    </xf>
    <xf numFmtId="0" fontId="2" fillId="13" borderId="22" xfId="2" applyFont="1" applyFill="1" applyBorder="1" applyAlignment="1">
      <alignment horizontal="center" vertical="center"/>
    </xf>
    <xf numFmtId="0" fontId="2" fillId="13" borderId="23" xfId="2" applyFont="1" applyFill="1" applyBorder="1" applyAlignment="1">
      <alignment horizontal="center" vertical="center"/>
    </xf>
    <xf numFmtId="0" fontId="2" fillId="13" borderId="24" xfId="2" applyFont="1" applyFill="1" applyBorder="1" applyAlignment="1">
      <alignment horizontal="center" vertical="center"/>
    </xf>
    <xf numFmtId="0" fontId="2" fillId="13" borderId="17" xfId="2" applyFont="1" applyFill="1" applyBorder="1" applyAlignment="1">
      <alignment horizontal="center" vertical="center"/>
    </xf>
    <xf numFmtId="0" fontId="2" fillId="13" borderId="25" xfId="2" applyFont="1" applyFill="1" applyBorder="1" applyAlignment="1">
      <alignment horizontal="center" vertical="center"/>
    </xf>
    <xf numFmtId="0" fontId="0" fillId="13" borderId="31" xfId="2" applyFont="1" applyFill="1" applyBorder="1" applyAlignment="1">
      <alignment horizontal="center" vertical="center"/>
    </xf>
    <xf numFmtId="0" fontId="0" fillId="13" borderId="32" xfId="2" applyFont="1" applyFill="1" applyBorder="1" applyAlignment="1">
      <alignment horizontal="center" vertical="center"/>
    </xf>
    <xf numFmtId="0" fontId="0" fillId="13" borderId="33" xfId="2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 wrapText="1"/>
    </xf>
  </cellXfs>
  <cellStyles count="6">
    <cellStyle name="20% - Accent1" xfId="4" builtinId="30"/>
    <cellStyle name="40% - Accent1" xfId="5" builtinId="31"/>
    <cellStyle name="Accent1" xfId="3" builtinId="29"/>
    <cellStyle name="Normal" xfId="0" builtinId="0"/>
    <cellStyle name="Note" xfId="2" builtinId="10"/>
    <cellStyle name="Percent" xfId="1" builtinId="5"/>
  </cellStyles>
  <dxfs count="19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</dxfs>
  <tableStyles count="0" defaultTableStyle="TableStyleMedium2" defaultPivotStyle="PivotStyleMedium9"/>
  <colors>
    <mruColors>
      <color rgb="FFF7D470"/>
      <color rgb="FFF36B4B"/>
      <color rgb="FFFF6600"/>
      <color rgb="FFABF34B"/>
      <color rgb="FFABF346"/>
      <color rgb="FFABF32B"/>
      <color rgb="FFABF37E"/>
      <color rgb="FFA4DC7E"/>
      <color rgb="FF09AB4B"/>
      <color rgb="FFF3A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9</xdr:row>
      <xdr:rowOff>38100</xdr:rowOff>
    </xdr:from>
    <xdr:to>
      <xdr:col>4</xdr:col>
      <xdr:colOff>1247775</xdr:colOff>
      <xdr:row>9</xdr:row>
      <xdr:rowOff>171451</xdr:rowOff>
    </xdr:to>
    <xdr:sp macro="" textlink="">
      <xdr:nvSpPr>
        <xdr:cNvPr id="4" name="Left Arrow 3"/>
        <xdr:cNvSpPr/>
      </xdr:nvSpPr>
      <xdr:spPr>
        <a:xfrm>
          <a:off x="4086225" y="1828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10</xdr:row>
      <xdr:rowOff>38100</xdr:rowOff>
    </xdr:from>
    <xdr:to>
      <xdr:col>4</xdr:col>
      <xdr:colOff>1247775</xdr:colOff>
      <xdr:row>10</xdr:row>
      <xdr:rowOff>171451</xdr:rowOff>
    </xdr:to>
    <xdr:sp macro="" textlink="">
      <xdr:nvSpPr>
        <xdr:cNvPr id="5" name="Left Arrow 4"/>
        <xdr:cNvSpPr/>
      </xdr:nvSpPr>
      <xdr:spPr>
        <a:xfrm>
          <a:off x="4086225" y="2019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11</xdr:row>
      <xdr:rowOff>38100</xdr:rowOff>
    </xdr:from>
    <xdr:to>
      <xdr:col>4</xdr:col>
      <xdr:colOff>1247775</xdr:colOff>
      <xdr:row>11</xdr:row>
      <xdr:rowOff>171451</xdr:rowOff>
    </xdr:to>
    <xdr:sp macro="" textlink="">
      <xdr:nvSpPr>
        <xdr:cNvPr id="6" name="Left Arrow 5"/>
        <xdr:cNvSpPr/>
      </xdr:nvSpPr>
      <xdr:spPr>
        <a:xfrm>
          <a:off x="4086225" y="2209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12</xdr:row>
      <xdr:rowOff>38100</xdr:rowOff>
    </xdr:from>
    <xdr:to>
      <xdr:col>4</xdr:col>
      <xdr:colOff>1247775</xdr:colOff>
      <xdr:row>12</xdr:row>
      <xdr:rowOff>171451</xdr:rowOff>
    </xdr:to>
    <xdr:sp macro="" textlink="">
      <xdr:nvSpPr>
        <xdr:cNvPr id="7" name="Left Arrow 6"/>
        <xdr:cNvSpPr/>
      </xdr:nvSpPr>
      <xdr:spPr>
        <a:xfrm>
          <a:off x="4086225" y="2400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7</xdr:row>
      <xdr:rowOff>38099</xdr:rowOff>
    </xdr:from>
    <xdr:to>
      <xdr:col>4</xdr:col>
      <xdr:colOff>1247775</xdr:colOff>
      <xdr:row>7</xdr:row>
      <xdr:rowOff>171450</xdr:rowOff>
    </xdr:to>
    <xdr:sp macro="" textlink="">
      <xdr:nvSpPr>
        <xdr:cNvPr id="2" name="Left Arrow 1"/>
        <xdr:cNvSpPr/>
      </xdr:nvSpPr>
      <xdr:spPr>
        <a:xfrm>
          <a:off x="4086225" y="1428749"/>
          <a:ext cx="1162050" cy="133351"/>
        </a:xfrm>
        <a:prstGeom prst="leftArrow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6</xdr:row>
      <xdr:rowOff>38099</xdr:rowOff>
    </xdr:from>
    <xdr:to>
      <xdr:col>4</xdr:col>
      <xdr:colOff>1247775</xdr:colOff>
      <xdr:row>6</xdr:row>
      <xdr:rowOff>171450</xdr:rowOff>
    </xdr:to>
    <xdr:sp macro="" textlink="">
      <xdr:nvSpPr>
        <xdr:cNvPr id="3" name="Left Arrow 2"/>
        <xdr:cNvSpPr/>
      </xdr:nvSpPr>
      <xdr:spPr>
        <a:xfrm>
          <a:off x="4086225" y="1228724"/>
          <a:ext cx="1162050" cy="133351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5</xdr:col>
      <xdr:colOff>15240</xdr:colOff>
      <xdr:row>14</xdr:row>
      <xdr:rowOff>83539</xdr:rowOff>
    </xdr:from>
    <xdr:to>
      <xdr:col>8</xdr:col>
      <xdr:colOff>542924</xdr:colOff>
      <xdr:row>22</xdr:row>
      <xdr:rowOff>123825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11097" b="20250"/>
        <a:stretch/>
      </xdr:blipFill>
      <xdr:spPr>
        <a:xfrm>
          <a:off x="5334000" y="2853409"/>
          <a:ext cx="3255644" cy="1575716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266700</xdr:colOff>
          <xdr:row>2</xdr:row>
          <xdr:rowOff>95250</xdr:rowOff>
        </xdr:from>
        <xdr:to>
          <xdr:col>20</xdr:col>
          <xdr:colOff>361950</xdr:colOff>
          <xdr:row>5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Debug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3</xdr:row>
      <xdr:rowOff>85727</xdr:rowOff>
    </xdr:from>
    <xdr:to>
      <xdr:col>6</xdr:col>
      <xdr:colOff>561974</xdr:colOff>
      <xdr:row>3</xdr:row>
      <xdr:rowOff>533400</xdr:rowOff>
    </xdr:to>
    <xdr:sp macro="" textlink="">
      <xdr:nvSpPr>
        <xdr:cNvPr id="3" name="Left Arrow 2"/>
        <xdr:cNvSpPr/>
      </xdr:nvSpPr>
      <xdr:spPr>
        <a:xfrm rot="5400000">
          <a:off x="5000625" y="838201"/>
          <a:ext cx="447673" cy="104775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X37"/>
  <sheetViews>
    <sheetView tabSelected="1" topLeftCell="A4" zoomScaleNormal="100" workbookViewId="0">
      <selection activeCell="K28" sqref="K28"/>
    </sheetView>
  </sheetViews>
  <sheetFormatPr defaultRowHeight="15" x14ac:dyDescent="0.25"/>
  <cols>
    <col min="3" max="3" width="25.28515625" bestFit="1" customWidth="1"/>
    <col min="4" max="4" width="16.42578125" customWidth="1"/>
    <col min="5" max="5" width="19.7109375" customWidth="1"/>
    <col min="6" max="6" width="15.85546875" bestFit="1" customWidth="1"/>
    <col min="7" max="7" width="12.28515625" customWidth="1"/>
    <col min="8" max="8" width="12.7109375" customWidth="1"/>
    <col min="9" max="9" width="8.28515625" customWidth="1"/>
    <col min="10" max="10" width="15.85546875" customWidth="1"/>
    <col min="11" max="11" width="14.42578125" bestFit="1" customWidth="1"/>
    <col min="12" max="12" width="18.42578125" bestFit="1" customWidth="1"/>
    <col min="13" max="13" width="20" bestFit="1" customWidth="1"/>
    <col min="14" max="15" width="14.42578125" bestFit="1" customWidth="1"/>
    <col min="16" max="16" width="17.28515625" bestFit="1" customWidth="1"/>
    <col min="17" max="17" width="14.42578125" bestFit="1" customWidth="1"/>
  </cols>
  <sheetData>
    <row r="1" spans="3:24" x14ac:dyDescent="0.25">
      <c r="C1" s="33"/>
    </row>
    <row r="2" spans="3:24" ht="15.75" thickBot="1" x14ac:dyDescent="0.3"/>
    <row r="3" spans="3:24" ht="15.75" thickBot="1" x14ac:dyDescent="0.3">
      <c r="C3" s="38" t="s">
        <v>15</v>
      </c>
      <c r="D3" s="66"/>
      <c r="F3" s="122" t="s">
        <v>68</v>
      </c>
      <c r="G3" s="123"/>
      <c r="H3" s="123"/>
      <c r="I3" s="124"/>
      <c r="J3" s="35"/>
      <c r="K3" s="46" t="s">
        <v>26</v>
      </c>
      <c r="L3" s="47" t="s">
        <v>25</v>
      </c>
      <c r="M3" s="47" t="s">
        <v>24</v>
      </c>
      <c r="V3" s="107" t="s">
        <v>77</v>
      </c>
      <c r="W3" s="108"/>
      <c r="X3" s="109"/>
    </row>
    <row r="4" spans="3:24" ht="15.75" thickBot="1" x14ac:dyDescent="0.3">
      <c r="C4" s="42" t="s">
        <v>14</v>
      </c>
      <c r="D4" s="67"/>
      <c r="F4" s="125"/>
      <c r="G4" s="126"/>
      <c r="H4" s="126"/>
      <c r="I4" s="127"/>
      <c r="J4" s="37"/>
      <c r="K4" s="53" t="s">
        <v>16</v>
      </c>
      <c r="L4" s="48" t="s">
        <v>31</v>
      </c>
      <c r="M4" s="59">
        <f>COUNTIF(I$28:I$37, "="&amp;L4)</f>
        <v>1</v>
      </c>
      <c r="V4" s="110"/>
      <c r="W4" s="111"/>
      <c r="X4" s="112"/>
    </row>
    <row r="5" spans="3:24" ht="15.75" thickBot="1" x14ac:dyDescent="0.3">
      <c r="C5" s="40" t="s">
        <v>13</v>
      </c>
      <c r="D5" s="68"/>
      <c r="E5" s="36"/>
      <c r="F5" s="125"/>
      <c r="G5" s="126"/>
      <c r="H5" s="126"/>
      <c r="I5" s="127"/>
      <c r="J5" s="37"/>
      <c r="K5" s="54" t="s">
        <v>17</v>
      </c>
      <c r="L5" s="48" t="s">
        <v>33</v>
      </c>
      <c r="M5" s="59">
        <f>COUNTIF(I$28:I$37, "="&amp;L5)</f>
        <v>0</v>
      </c>
      <c r="V5" s="110"/>
      <c r="W5" s="111"/>
      <c r="X5" s="112"/>
    </row>
    <row r="6" spans="3:24" ht="15.75" thickBot="1" x14ac:dyDescent="0.3">
      <c r="C6" s="42" t="s">
        <v>12</v>
      </c>
      <c r="D6" s="67"/>
      <c r="F6" s="125"/>
      <c r="G6" s="126"/>
      <c r="H6" s="126"/>
      <c r="I6" s="127"/>
      <c r="J6" s="37"/>
      <c r="K6" s="55" t="s">
        <v>18</v>
      </c>
      <c r="L6" s="49" t="s">
        <v>34</v>
      </c>
      <c r="M6" s="59">
        <f>COUNTIF(I$28:I$37, "="&amp;L6)</f>
        <v>1</v>
      </c>
      <c r="V6" s="113"/>
      <c r="W6" s="114"/>
      <c r="X6" s="115"/>
    </row>
    <row r="7" spans="3:24" ht="15.75" thickBot="1" x14ac:dyDescent="0.3">
      <c r="C7" s="40" t="s">
        <v>52</v>
      </c>
      <c r="D7" s="90">
        <v>10</v>
      </c>
      <c r="F7" s="119" t="s">
        <v>66</v>
      </c>
      <c r="G7" s="120"/>
      <c r="H7" s="120"/>
      <c r="I7" s="121"/>
      <c r="J7" s="35"/>
      <c r="K7" s="55" t="s">
        <v>19</v>
      </c>
      <c r="L7" s="49" t="s">
        <v>51</v>
      </c>
      <c r="M7" s="59">
        <f>COUNTIF(I$28:I$37, "="&amp;L7)</f>
        <v>2</v>
      </c>
    </row>
    <row r="8" spans="3:24" ht="15.75" thickBot="1" x14ac:dyDescent="0.3">
      <c r="C8" s="44" t="s">
        <v>53</v>
      </c>
      <c r="D8" s="91">
        <v>4</v>
      </c>
      <c r="F8" s="116" t="s">
        <v>67</v>
      </c>
      <c r="G8" s="117"/>
      <c r="H8" s="117"/>
      <c r="I8" s="118"/>
      <c r="J8" s="35"/>
      <c r="K8" s="55" t="s">
        <v>20</v>
      </c>
      <c r="L8" s="49" t="s">
        <v>38</v>
      </c>
      <c r="M8" s="59">
        <f>COUNTIF(I$28:I$37, "="&amp;L8)</f>
        <v>1</v>
      </c>
    </row>
    <row r="9" spans="3:24" ht="15.75" thickBot="1" x14ac:dyDescent="0.3">
      <c r="J9" s="35"/>
      <c r="K9" s="56" t="s">
        <v>21</v>
      </c>
      <c r="L9" s="50" t="s">
        <v>35</v>
      </c>
      <c r="M9" s="59">
        <f>COUNTIF(I$28:I$37, "="&amp;L9)</f>
        <v>2</v>
      </c>
    </row>
    <row r="10" spans="3:24" x14ac:dyDescent="0.25">
      <c r="C10" s="38" t="s">
        <v>49</v>
      </c>
      <c r="D10" s="39">
        <v>0.5</v>
      </c>
      <c r="F10" s="128" t="s">
        <v>69</v>
      </c>
      <c r="G10" s="129"/>
      <c r="H10" s="129"/>
      <c r="I10" s="130"/>
      <c r="J10" s="35"/>
      <c r="K10" s="56" t="s">
        <v>22</v>
      </c>
      <c r="L10" s="50" t="s">
        <v>32</v>
      </c>
      <c r="M10" s="59">
        <f>COUNTIF(I$28:I$37, "="&amp;L10)</f>
        <v>1</v>
      </c>
    </row>
    <row r="11" spans="3:24" x14ac:dyDescent="0.25">
      <c r="C11" s="42" t="s">
        <v>47</v>
      </c>
      <c r="D11" s="43">
        <v>0.4</v>
      </c>
      <c r="F11" s="119" t="s">
        <v>70</v>
      </c>
      <c r="G11" s="120"/>
      <c r="H11" s="120"/>
      <c r="I11" s="121"/>
      <c r="J11" s="35"/>
      <c r="K11" s="56" t="s">
        <v>23</v>
      </c>
      <c r="L11" s="50" t="s">
        <v>36</v>
      </c>
      <c r="M11" s="59">
        <f>COUNTIF(I$28:I$37, "="&amp;L11)</f>
        <v>1</v>
      </c>
    </row>
    <row r="12" spans="3:24" x14ac:dyDescent="0.25">
      <c r="C12" s="40" t="s">
        <v>44</v>
      </c>
      <c r="D12" s="41">
        <v>0.5</v>
      </c>
      <c r="F12" s="119" t="s">
        <v>72</v>
      </c>
      <c r="G12" s="120"/>
      <c r="H12" s="120"/>
      <c r="I12" s="121"/>
      <c r="J12" s="35"/>
      <c r="K12" s="57" t="s">
        <v>30</v>
      </c>
      <c r="L12" s="51" t="s">
        <v>37</v>
      </c>
      <c r="M12" s="59">
        <f>COUNTIF(I$28:I$37, "="&amp;L12)</f>
        <v>0</v>
      </c>
    </row>
    <row r="13" spans="3:24" ht="15.75" thickBot="1" x14ac:dyDescent="0.3">
      <c r="C13" s="44" t="s">
        <v>48</v>
      </c>
      <c r="D13" s="45">
        <v>0.4</v>
      </c>
      <c r="F13" s="116" t="s">
        <v>71</v>
      </c>
      <c r="G13" s="117"/>
      <c r="H13" s="117"/>
      <c r="I13" s="118"/>
      <c r="J13" s="35"/>
      <c r="K13" s="58" t="s">
        <v>29</v>
      </c>
      <c r="L13" s="52" t="s">
        <v>39</v>
      </c>
      <c r="M13" s="59">
        <f>COUNTIF(I$28:I$37, "="&amp;L13)</f>
        <v>1</v>
      </c>
    </row>
    <row r="14" spans="3:24" x14ac:dyDescent="0.25">
      <c r="J14" s="35"/>
      <c r="K14" s="103" t="s">
        <v>28</v>
      </c>
      <c r="L14" s="104"/>
      <c r="M14" s="60">
        <f>COUNTIF(H28:H37, "=FAIL")</f>
        <v>3</v>
      </c>
    </row>
    <row r="15" spans="3:24" x14ac:dyDescent="0.25">
      <c r="J15" s="35"/>
      <c r="K15" s="105" t="s">
        <v>27</v>
      </c>
      <c r="L15" s="106"/>
      <c r="M15" s="59">
        <f>COUNTIF(H28:H37, "=PASS")</f>
        <v>7</v>
      </c>
    </row>
    <row r="16" spans="3:24" x14ac:dyDescent="0.25">
      <c r="J16" s="35"/>
      <c r="K16" s="105" t="s">
        <v>40</v>
      </c>
      <c r="L16" s="106"/>
      <c r="M16" s="59">
        <f>COUNTIF(G28:G37, "=WRITE SUPP")</f>
        <v>2</v>
      </c>
    </row>
    <row r="17" spans="3:18" x14ac:dyDescent="0.25">
      <c r="J17" s="35"/>
      <c r="K17" s="105" t="s">
        <v>41</v>
      </c>
      <c r="L17" s="106"/>
      <c r="M17" s="61">
        <f>MAX(J28:J37)-MIN(J28:J37)</f>
        <v>0.48981818181818176</v>
      </c>
    </row>
    <row r="18" spans="3:18" x14ac:dyDescent="0.25">
      <c r="J18" s="35"/>
      <c r="K18" s="105" t="s">
        <v>42</v>
      </c>
      <c r="L18" s="106"/>
      <c r="M18" s="61">
        <f>AVERAGE(J28:J37)</f>
        <v>0.61974545454545449</v>
      </c>
    </row>
    <row r="19" spans="3:18" ht="15.75" thickBot="1" x14ac:dyDescent="0.3">
      <c r="J19" s="35"/>
      <c r="K19" s="101" t="s">
        <v>43</v>
      </c>
      <c r="L19" s="102"/>
      <c r="M19" s="62">
        <f>STDEV(J28:J37)</f>
        <v>0.13722781257317357</v>
      </c>
    </row>
    <row r="24" spans="3:18" ht="15.75" thickBot="1" x14ac:dyDescent="0.3"/>
    <row r="25" spans="3:18" ht="15.75" thickBot="1" x14ac:dyDescent="0.3">
      <c r="D25" s="63" t="s">
        <v>3</v>
      </c>
      <c r="E25" s="64" t="s">
        <v>1</v>
      </c>
      <c r="F25" s="64" t="s">
        <v>2</v>
      </c>
      <c r="G25" s="64" t="s">
        <v>46</v>
      </c>
      <c r="H25" s="64" t="s">
        <v>45</v>
      </c>
      <c r="I25" s="64" t="s">
        <v>25</v>
      </c>
      <c r="J25" s="70" t="s">
        <v>9</v>
      </c>
      <c r="K25" s="64" t="s">
        <v>4</v>
      </c>
      <c r="L25" s="64" t="s">
        <v>55</v>
      </c>
      <c r="M25" s="98" t="s">
        <v>50</v>
      </c>
      <c r="N25" s="65" t="str">
        <f ca="1">'Test 1'!D3</f>
        <v>Test 1</v>
      </c>
      <c r="O25" s="65" t="str">
        <f ca="1">'Test 2'!D3</f>
        <v>Test 2</v>
      </c>
      <c r="P25" s="65" t="str">
        <f ca="1">'Oral Assignment 1'!D3</f>
        <v>Oral Assignment 1</v>
      </c>
      <c r="Q25" s="65" t="str">
        <f ca="1">'Test 4'!D3</f>
        <v>Test 4</v>
      </c>
      <c r="R25" s="36"/>
    </row>
    <row r="26" spans="3:18" ht="15.75" thickBot="1" x14ac:dyDescent="0.3">
      <c r="C26" s="25" t="s">
        <v>11</v>
      </c>
      <c r="D26" s="26"/>
      <c r="E26" s="27"/>
      <c r="F26" s="27"/>
      <c r="G26" s="27"/>
      <c r="H26" s="27"/>
      <c r="I26" s="27"/>
      <c r="J26" s="71">
        <v>1</v>
      </c>
      <c r="K26" s="22">
        <v>0.4</v>
      </c>
      <c r="L26" s="22">
        <v>0.6</v>
      </c>
      <c r="M26" s="99"/>
      <c r="N26" s="97">
        <f>N27/$M$27</f>
        <v>9.0909090909090912E-2</v>
      </c>
      <c r="O26" s="97">
        <f t="shared" ref="O26:Q26" si="0">O27/$M$27</f>
        <v>0.27272727272727271</v>
      </c>
      <c r="P26" s="97">
        <f t="shared" si="0"/>
        <v>0.18181818181818182</v>
      </c>
      <c r="Q26" s="97">
        <f t="shared" si="0"/>
        <v>0.45454545454545453</v>
      </c>
      <c r="R26" s="36"/>
    </row>
    <row r="27" spans="3:18" ht="15.75" thickBot="1" x14ac:dyDescent="0.3">
      <c r="C27" s="29" t="s">
        <v>54</v>
      </c>
      <c r="D27" s="30"/>
      <c r="E27" s="31"/>
      <c r="F27" s="31"/>
      <c r="G27" s="31"/>
      <c r="H27" s="31"/>
      <c r="I27" s="31"/>
      <c r="J27" s="72"/>
      <c r="K27" s="69"/>
      <c r="L27" s="31"/>
      <c r="M27" s="100">
        <f t="shared" ref="M27:M37" si="1">SUM(N27:Q27)</f>
        <v>110</v>
      </c>
      <c r="N27" s="32">
        <f>SUM('Test 1'!L6:U6)</f>
        <v>10</v>
      </c>
      <c r="O27" s="32">
        <f>'Test 2'!I6</f>
        <v>30</v>
      </c>
      <c r="P27" s="32">
        <f>'Oral Assignment 1'!I6</f>
        <v>20</v>
      </c>
      <c r="Q27" s="32">
        <f>'Test 4'!I6</f>
        <v>50</v>
      </c>
      <c r="R27" s="36"/>
    </row>
    <row r="28" spans="3:18" x14ac:dyDescent="0.25">
      <c r="D28" s="73" t="s">
        <v>78</v>
      </c>
      <c r="E28" s="96" t="s">
        <v>91</v>
      </c>
      <c r="F28" s="88" t="s">
        <v>80</v>
      </c>
      <c r="G28" s="74" t="str">
        <f>IF(AND(K28&gt;=D$13, J28&gt;=D$11), IF(OR(K28&lt;D$12, J28&lt;D$10), "WRITE SUPP", "NO SUPP"), "NO SUPP")</f>
        <v>NO SUPP</v>
      </c>
      <c r="H28" s="74" t="str">
        <f>IF(K28&gt;=D$12, IF(J28&gt;=D$10, "PASS", "FAIL"), "FAIL")</f>
        <v>PASS</v>
      </c>
      <c r="I28" s="74" t="str">
        <f>IF(J28&gt;=0.8, L$4, IF(J28&gt;=0.75, L$5, IF(J28&gt;=0.7, L$6, IF(J28&gt;=0.65, L$7, IF(J28&gt;=0.6, L$8, IF(J28&gt;=0.55, L$9, IF(J28&gt;=0.5, L$10, IF(J28&gt;=0.45, L$11, IF(J28&gt;=0.4, L$12, L$13)))))))))</f>
        <v>B</v>
      </c>
      <c r="J28" s="89">
        <f t="shared" ref="J28:J37" si="2">IFERROR(K$26*K28+L$26*L28, L$26*L28)</f>
        <v>0.69090909090909092</v>
      </c>
      <c r="K28" s="89">
        <f>IF(ISNUMBER(FIND("MISSING MARK", Exam!I7)), Exam!I7, Exam!H7)</f>
        <v>0.72499999999999998</v>
      </c>
      <c r="L28" s="89">
        <f>M28/M$27</f>
        <v>0.66818181818181821</v>
      </c>
      <c r="M28" s="74">
        <f t="shared" si="1"/>
        <v>73.5</v>
      </c>
      <c r="N28" s="75">
        <f>'Test 1'!I7</f>
        <v>4</v>
      </c>
      <c r="O28" s="75">
        <f>'Test 2'!I7</f>
        <v>20.5</v>
      </c>
      <c r="P28" s="75">
        <f>'Oral Assignment 1'!I7</f>
        <v>16</v>
      </c>
      <c r="Q28" s="75">
        <f>'Test 4'!I7</f>
        <v>33</v>
      </c>
    </row>
    <row r="29" spans="3:18" x14ac:dyDescent="0.25">
      <c r="D29" s="73" t="s">
        <v>81</v>
      </c>
      <c r="E29" s="96" t="s">
        <v>79</v>
      </c>
      <c r="F29" s="88" t="s">
        <v>83</v>
      </c>
      <c r="G29" s="74" t="str">
        <f t="shared" ref="G29:G31" si="3">IF(AND(K29&gt;=D$13, J29&gt;=D$11), IF(OR(K29&lt;D$12, J29&lt;D$10), "WRITE SUPP", "NO SUPP"), "NO SUPP")</f>
        <v>NO SUPP</v>
      </c>
      <c r="H29" s="74" t="str">
        <f t="shared" ref="H29:H31" si="4">IF(K29&gt;=D$12, IF(J29&gt;=D$10, "PASS", "FAIL"), "FAIL")</f>
        <v>PASS</v>
      </c>
      <c r="I29" s="74" t="str">
        <f t="shared" ref="I29:I31" si="5">IF(J29&gt;=0.8, L$4, IF(J29&gt;=0.75, L$5, IF(J29&gt;=0.7, L$6, IF(J29&gt;=0.65, L$7, IF(J29&gt;=0.6, L$8, IF(J29&gt;=0.55, L$9, IF(J29&gt;=0.5, L$10, IF(J29&gt;=0.45, L$11, IF(J29&gt;=0.4, L$12, L$13)))))))))</f>
        <v>A</v>
      </c>
      <c r="J29" s="89">
        <f t="shared" si="2"/>
        <v>0.88527272727272721</v>
      </c>
      <c r="K29" s="89">
        <f>IF(ISNUMBER(FIND("MISSING MARK", Exam!I8)), Exam!I8, Exam!H8)</f>
        <v>0.87</v>
      </c>
      <c r="L29" s="89">
        <f t="shared" ref="L29:L31" si="6">M29/M$27</f>
        <v>0.8954545454545455</v>
      </c>
      <c r="M29" s="74">
        <f t="shared" si="1"/>
        <v>98.5</v>
      </c>
      <c r="N29" s="75">
        <f>'Test 1'!I8</f>
        <v>8</v>
      </c>
      <c r="O29" s="75">
        <f>'Test 2'!I8</f>
        <v>25.5</v>
      </c>
      <c r="P29" s="75">
        <f>'Oral Assignment 1'!I8</f>
        <v>19</v>
      </c>
      <c r="Q29" s="75">
        <f>'Test 4'!I8</f>
        <v>46</v>
      </c>
    </row>
    <row r="30" spans="3:18" x14ac:dyDescent="0.25">
      <c r="D30" s="73" t="s">
        <v>82</v>
      </c>
      <c r="E30" s="73" t="s">
        <v>86</v>
      </c>
      <c r="F30" s="88" t="s">
        <v>84</v>
      </c>
      <c r="G30" s="74" t="str">
        <f t="shared" si="3"/>
        <v>NO SUPP</v>
      </c>
      <c r="H30" s="74" t="str">
        <f t="shared" si="4"/>
        <v>FAIL</v>
      </c>
      <c r="I30" s="74" t="str">
        <f t="shared" si="5"/>
        <v>F</v>
      </c>
      <c r="J30" s="89">
        <f t="shared" si="2"/>
        <v>0.39545454545454545</v>
      </c>
      <c r="K30" s="89">
        <f>IF(ISNUMBER(FIND("MISSING MARK", Exam!I9)), Exam!I9, Exam!H9)</f>
        <v>0.45</v>
      </c>
      <c r="L30" s="89">
        <f t="shared" si="6"/>
        <v>0.35909090909090907</v>
      </c>
      <c r="M30" s="74">
        <f t="shared" si="1"/>
        <v>39.5</v>
      </c>
      <c r="N30" s="75">
        <f>'Test 1'!I9</f>
        <v>4</v>
      </c>
      <c r="O30" s="75">
        <f>'Test 2'!I9</f>
        <v>10.500000000000002</v>
      </c>
      <c r="P30" s="75">
        <f>'Oral Assignment 1'!I9</f>
        <v>9</v>
      </c>
      <c r="Q30" s="75">
        <f>'Test 4'!I9</f>
        <v>16</v>
      </c>
    </row>
    <row r="31" spans="3:18" x14ac:dyDescent="0.25">
      <c r="D31" s="73" t="s">
        <v>87</v>
      </c>
      <c r="E31" s="73" t="s">
        <v>88</v>
      </c>
      <c r="F31" s="88" t="s">
        <v>85</v>
      </c>
      <c r="G31" s="74" t="str">
        <f t="shared" si="3"/>
        <v>NO SUPP</v>
      </c>
      <c r="H31" s="74" t="str">
        <f t="shared" si="4"/>
        <v>PASS</v>
      </c>
      <c r="I31" s="74" t="str">
        <f t="shared" si="5"/>
        <v>C</v>
      </c>
      <c r="J31" s="89">
        <f>IFERROR(K$26*K31+L$26*L31, L$26*L31)</f>
        <v>0.54745454545454542</v>
      </c>
      <c r="K31" s="89">
        <f>IF(ISNUMBER(FIND("MISSING MARK", Exam!I10)), Exam!I10, Exam!H10)</f>
        <v>0.53</v>
      </c>
      <c r="L31" s="89">
        <f t="shared" si="6"/>
        <v>0.55909090909090908</v>
      </c>
      <c r="M31" s="74">
        <f t="shared" si="1"/>
        <v>61.5</v>
      </c>
      <c r="N31" s="75">
        <f>'Test 1'!I10</f>
        <v>5</v>
      </c>
      <c r="O31" s="75">
        <f>'Test 2'!I10</f>
        <v>15.499999999999998</v>
      </c>
      <c r="P31" s="75">
        <f>'Oral Assignment 1'!I10</f>
        <v>11</v>
      </c>
      <c r="Q31" s="75">
        <f>'Test 4'!I10</f>
        <v>30</v>
      </c>
    </row>
    <row r="32" spans="3:18" x14ac:dyDescent="0.25">
      <c r="D32" s="73" t="s">
        <v>90</v>
      </c>
      <c r="E32" s="73" t="s">
        <v>89</v>
      </c>
      <c r="F32" s="88" t="s">
        <v>92</v>
      </c>
      <c r="G32" s="74" t="str">
        <f t="shared" ref="G32:G36" si="7">IF(AND(K32&gt;=D$13, J32&gt;=D$11), IF(OR(K32&lt;D$12, J32&lt;D$10), "WRITE SUPP", "NO SUPP"), "NO SUPP")</f>
        <v>WRITE SUPP</v>
      </c>
      <c r="H32" s="74" t="str">
        <f t="shared" ref="H32:H36" si="8">IF(K32&gt;=D$12, IF(J32&gt;=D$10, "PASS", "FAIL"), "FAIL")</f>
        <v>FAIL</v>
      </c>
      <c r="I32" s="74" t="str">
        <f t="shared" ref="I32:I36" si="9">IF(J32&gt;=0.8, L$4, IF(J32&gt;=0.75, L$5, IF(J32&gt;=0.7, L$6, IF(J32&gt;=0.65, L$7, IF(J32&gt;=0.6, L$8, IF(J32&gt;=0.55, L$9, IF(J32&gt;=0.5, L$10, IF(J32&gt;=0.45, L$11, IF(J32&gt;=0.4, L$12, L$13)))))))))</f>
        <v>C+</v>
      </c>
      <c r="J32" s="89">
        <f t="shared" si="2"/>
        <v>0.58127272727272727</v>
      </c>
      <c r="K32" s="89">
        <f>IF(ISNUMBER(FIND("MISSING MARK", Exam!I11)), Exam!I11, Exam!H11)</f>
        <v>0.41</v>
      </c>
      <c r="L32" s="89">
        <f t="shared" ref="L32:L36" si="10">M32/M$27</f>
        <v>0.69545454545454544</v>
      </c>
      <c r="M32" s="74">
        <f t="shared" si="1"/>
        <v>76.5</v>
      </c>
      <c r="N32" s="75">
        <f>'Test 1'!I11</f>
        <v>6</v>
      </c>
      <c r="O32" s="75">
        <f>'Test 2'!I11</f>
        <v>16.499999999999996</v>
      </c>
      <c r="P32" s="75">
        <f>'Oral Assignment 1'!I11</f>
        <v>19</v>
      </c>
      <c r="Q32" s="75">
        <f>'Test 4'!I11</f>
        <v>35</v>
      </c>
    </row>
    <row r="33" spans="4:17" x14ac:dyDescent="0.25">
      <c r="D33" s="73" t="s">
        <v>94</v>
      </c>
      <c r="E33" s="73" t="s">
        <v>93</v>
      </c>
      <c r="F33" s="88" t="s">
        <v>95</v>
      </c>
      <c r="G33" s="74" t="str">
        <f t="shared" si="7"/>
        <v>WRITE SUPP</v>
      </c>
      <c r="H33" s="74" t="str">
        <f t="shared" si="8"/>
        <v>FAIL</v>
      </c>
      <c r="I33" s="74" t="str">
        <f t="shared" si="9"/>
        <v>C-</v>
      </c>
      <c r="J33" s="89">
        <f t="shared" si="2"/>
        <v>0.48363636363636364</v>
      </c>
      <c r="K33" s="89">
        <f>IF(ISNUMBER(FIND("MISSING MARK", Exam!I12)), Exam!I12, Exam!H12)</f>
        <v>0.65</v>
      </c>
      <c r="L33" s="89">
        <f t="shared" si="10"/>
        <v>0.37272727272727274</v>
      </c>
      <c r="M33" s="74">
        <f t="shared" si="1"/>
        <v>41</v>
      </c>
      <c r="N33" s="75">
        <f>'Test 1'!I12</f>
        <v>3.5000000000000004</v>
      </c>
      <c r="O33" s="75">
        <f>'Test 2'!I12</f>
        <v>9.5</v>
      </c>
      <c r="P33" s="75">
        <f>'Oral Assignment 1'!I12</f>
        <v>11</v>
      </c>
      <c r="Q33" s="75">
        <f>'Test 4'!I12</f>
        <v>17</v>
      </c>
    </row>
    <row r="34" spans="4:17" x14ac:dyDescent="0.25">
      <c r="D34" s="73" t="s">
        <v>97</v>
      </c>
      <c r="E34" s="73" t="s">
        <v>96</v>
      </c>
      <c r="F34" s="88" t="s">
        <v>99</v>
      </c>
      <c r="G34" s="74" t="str">
        <f t="shared" si="7"/>
        <v>NO SUPP</v>
      </c>
      <c r="H34" s="74" t="str">
        <f t="shared" si="8"/>
        <v>PASS</v>
      </c>
      <c r="I34" s="74" t="str">
        <f t="shared" si="9"/>
        <v>C+</v>
      </c>
      <c r="J34" s="89">
        <f t="shared" si="2"/>
        <v>0.58654545454545448</v>
      </c>
      <c r="K34" s="89">
        <f>IF(ISNUMBER(FIND("MISSING MARK", Exam!I13)), Exam!I13, Exam!H13)</f>
        <v>0.57999999999999996</v>
      </c>
      <c r="L34" s="89">
        <f t="shared" si="10"/>
        <v>0.59090909090909094</v>
      </c>
      <c r="M34" s="74">
        <f t="shared" si="1"/>
        <v>65</v>
      </c>
      <c r="N34" s="75">
        <f>'Test 1'!I13</f>
        <v>6</v>
      </c>
      <c r="O34" s="75" t="str">
        <f>'Test 2'!I13</f>
        <v>INVALID MARK</v>
      </c>
      <c r="P34" s="75">
        <f>'Oral Assignment 1'!I13</f>
        <v>12</v>
      </c>
      <c r="Q34" s="75">
        <f>'Test 4'!I13</f>
        <v>47</v>
      </c>
    </row>
    <row r="35" spans="4:17" x14ac:dyDescent="0.25">
      <c r="D35" s="73" t="s">
        <v>97</v>
      </c>
      <c r="E35" s="73" t="s">
        <v>101</v>
      </c>
      <c r="F35" s="88" t="s">
        <v>100</v>
      </c>
      <c r="G35" s="74" t="str">
        <f t="shared" si="7"/>
        <v>NO SUPP</v>
      </c>
      <c r="H35" s="74" t="str">
        <f t="shared" si="8"/>
        <v>PASS</v>
      </c>
      <c r="I35" s="74" t="str">
        <f t="shared" si="9"/>
        <v>B-</v>
      </c>
      <c r="J35" s="89">
        <f t="shared" si="2"/>
        <v>0.60872727272727267</v>
      </c>
      <c r="K35" s="89">
        <f>IF(ISNUMBER(FIND("MISSING MARK", Exam!I14)), Exam!I14, Exam!H14)</f>
        <v>0.69</v>
      </c>
      <c r="L35" s="89">
        <f t="shared" si="10"/>
        <v>0.55454545454545456</v>
      </c>
      <c r="M35" s="74">
        <f t="shared" si="1"/>
        <v>61</v>
      </c>
      <c r="N35" s="75" t="str">
        <f>'Test 1'!I14</f>
        <v>INVALID MARK</v>
      </c>
      <c r="O35" s="75">
        <f>'Test 2'!I14</f>
        <v>17</v>
      </c>
      <c r="P35" s="75">
        <f>'Oral Assignment 1'!I14</f>
        <v>13</v>
      </c>
      <c r="Q35" s="75">
        <f>'Test 4'!I14</f>
        <v>31</v>
      </c>
    </row>
    <row r="36" spans="4:17" x14ac:dyDescent="0.25">
      <c r="D36" s="73" t="s">
        <v>97</v>
      </c>
      <c r="E36" s="73" t="s">
        <v>98</v>
      </c>
      <c r="F36" s="88" t="s">
        <v>102</v>
      </c>
      <c r="G36" s="74" t="str">
        <f t="shared" si="7"/>
        <v>NO SUPP</v>
      </c>
      <c r="H36" s="74" t="str">
        <f t="shared" si="8"/>
        <v>PASS</v>
      </c>
      <c r="I36" s="74" t="str">
        <f t="shared" si="9"/>
        <v>B</v>
      </c>
      <c r="J36" s="89">
        <f t="shared" si="2"/>
        <v>0.68472727272727274</v>
      </c>
      <c r="K36" s="89">
        <f>IF(ISNUMBER(FIND("MISSING MARK", Exam!I15)), Exam!I15, Exam!H15)</f>
        <v>0.80500000000000005</v>
      </c>
      <c r="L36" s="89">
        <f t="shared" si="10"/>
        <v>0.6045454545454545</v>
      </c>
      <c r="M36" s="74">
        <f t="shared" si="1"/>
        <v>66.5</v>
      </c>
      <c r="N36" s="75">
        <f>'Test 1'!I15</f>
        <v>9</v>
      </c>
      <c r="O36" s="75">
        <f>'Test 2'!I15</f>
        <v>12.5</v>
      </c>
      <c r="P36" s="75" t="str">
        <f>'Oral Assignment 1'!I15</f>
        <v>MISSING MARK</v>
      </c>
      <c r="Q36" s="75">
        <f>'Test 4'!I15</f>
        <v>45</v>
      </c>
    </row>
    <row r="37" spans="4:17" x14ac:dyDescent="0.25">
      <c r="D37" s="73" t="s">
        <v>2</v>
      </c>
      <c r="E37" s="73" t="s">
        <v>98</v>
      </c>
      <c r="F37" s="88"/>
      <c r="G37" s="74" t="str">
        <f t="shared" ref="G37" si="11">IF(AND(K37&gt;=D$13, J37&gt;=D$11), IF(OR(K37&lt;D$12, J37&lt;D$10), "WRITE SUPP", "NO SUPP"), "NO SUPP")</f>
        <v>NO SUPP</v>
      </c>
      <c r="H37" s="74" t="str">
        <f t="shared" ref="H37" si="12">IF(K37&gt;=D$12, IF(J37&gt;=D$10, "PASS", "FAIL"), "FAIL")</f>
        <v>PASS</v>
      </c>
      <c r="I37" s="74" t="str">
        <f t="shared" ref="I37" si="13">IF(J37&gt;=0.8, L$4, IF(J37&gt;=0.75, L$5, IF(J37&gt;=0.7, L$6, IF(J37&gt;=0.65, L$7, IF(J37&gt;=0.6, L$8, IF(J37&gt;=0.55, L$9, IF(J37&gt;=0.5, L$10, IF(J37&gt;=0.45, L$11, IF(J37&gt;=0.4, L$12, L$13)))))))))</f>
        <v>B+</v>
      </c>
      <c r="J37" s="89">
        <f t="shared" si="2"/>
        <v>0.73345454545454558</v>
      </c>
      <c r="K37" s="89">
        <f>IF(ISNUMBER(FIND("MISSING MARK", Exam!I16)), Exam!I16, Exam!H16)</f>
        <v>0.77</v>
      </c>
      <c r="L37" s="89">
        <f t="shared" ref="L37" si="14">M37/M$27</f>
        <v>0.70909090909090911</v>
      </c>
      <c r="M37" s="74">
        <f t="shared" si="1"/>
        <v>78</v>
      </c>
      <c r="N37" s="75">
        <f>'Test 1'!I16</f>
        <v>10</v>
      </c>
      <c r="O37" s="75">
        <f>'Test 2'!I16</f>
        <v>19.499999999999996</v>
      </c>
      <c r="P37" s="75">
        <f>'Oral Assignment 1'!I16</f>
        <v>12.5</v>
      </c>
      <c r="Q37" s="75">
        <f>'Test 4'!I16</f>
        <v>36</v>
      </c>
    </row>
  </sheetData>
  <dataConsolidate/>
  <mergeCells count="14">
    <mergeCell ref="V3:X6"/>
    <mergeCell ref="F8:I8"/>
    <mergeCell ref="F7:I7"/>
    <mergeCell ref="F3:I6"/>
    <mergeCell ref="F13:I13"/>
    <mergeCell ref="F12:I12"/>
    <mergeCell ref="F11:I11"/>
    <mergeCell ref="F10:I10"/>
    <mergeCell ref="K19:L19"/>
    <mergeCell ref="K14:L14"/>
    <mergeCell ref="K15:L15"/>
    <mergeCell ref="K16:L16"/>
    <mergeCell ref="K17:L17"/>
    <mergeCell ref="K18:L18"/>
  </mergeCells>
  <conditionalFormatting sqref="I28">
    <cfRule type="containsText" dxfId="189" priority="3608" operator="containsText" text="A">
      <formula>NOT(ISERROR(SEARCH("A",I28)))</formula>
    </cfRule>
  </conditionalFormatting>
  <conditionalFormatting sqref="G28">
    <cfRule type="containsText" dxfId="188" priority="3607" operator="containsText" text="WRITE SUPP">
      <formula>NOT(ISERROR(SEARCH("WRITE SUPP",G28)))</formula>
    </cfRule>
  </conditionalFormatting>
  <conditionalFormatting sqref="K28:K37">
    <cfRule type="containsText" dxfId="186" priority="26" operator="containsText" text="MISSING MARK">
      <formula>NOT(ISERROR(SEARCH("MISSING MARK",K28)))</formula>
    </cfRule>
    <cfRule type="containsText" dxfId="185" priority="3603" operator="containsText" text="INVALID MARK">
      <formula>NOT(ISERROR(SEARCH("INVALID MARK",K28)))</formula>
    </cfRule>
    <cfRule type="cellIs" dxfId="184" priority="3610" operator="lessThan">
      <formula>$D$12</formula>
    </cfRule>
    <cfRule type="cellIs" priority="3611" operator="greaterThanOrEqual">
      <formula>$D$12</formula>
    </cfRule>
    <cfRule type="expression" dxfId="183" priority="3612">
      <formula>"&gt;=$D$10"</formula>
    </cfRule>
  </conditionalFormatting>
  <conditionalFormatting sqref="N28">
    <cfRule type="containsText" dxfId="182" priority="3604" operator="containsText" text="INVALID MARK">
      <formula>NOT(ISERROR(SEARCH("INVALID MARK",N28)))</formula>
    </cfRule>
    <cfRule type="containsText" dxfId="181" priority="3605" operator="containsText" text="INVALID ENTRY">
      <formula>NOT(ISERROR(SEARCH("INVALID ENTRY",N28)))</formula>
    </cfRule>
    <cfRule type="containsText" dxfId="180" priority="3606" operator="containsText" text="MISSING MARK">
      <formula>NOT(ISERROR(SEARCH("MISSING MARK",N28)))</formula>
    </cfRule>
  </conditionalFormatting>
  <conditionalFormatting sqref="H28">
    <cfRule type="containsText" dxfId="179" priority="3602" operator="containsText" text="FAIL">
      <formula>NOT(ISERROR(SEARCH("FAIL",H28)))</formula>
    </cfRule>
  </conditionalFormatting>
  <conditionalFormatting sqref="I28">
    <cfRule type="containsText" dxfId="178" priority="3358" operator="containsText" text="F">
      <formula>NOT(ISERROR(SEARCH("F",I28)))</formula>
    </cfRule>
    <cfRule type="containsText" dxfId="177" priority="3359" operator="containsText" text="D">
      <formula>NOT(ISERROR(SEARCH("D",I28)))</formula>
    </cfRule>
    <cfRule type="containsText" dxfId="176" priority="3360" operator="containsText" text="C">
      <formula>NOT(ISERROR(SEARCH("C",I28)))</formula>
    </cfRule>
    <cfRule type="containsText" dxfId="175" priority="3361" operator="containsText" text="B">
      <formula>NOT(ISERROR(SEARCH("B",I28)))</formula>
    </cfRule>
  </conditionalFormatting>
  <conditionalFormatting sqref="I29:I31">
    <cfRule type="containsText" dxfId="174" priority="167" operator="containsText" text="A">
      <formula>NOT(ISERROR(SEARCH("A",I29)))</formula>
    </cfRule>
  </conditionalFormatting>
  <conditionalFormatting sqref="G29:G31">
    <cfRule type="containsText" dxfId="173" priority="166" operator="containsText" text="WRITE SUPP">
      <formula>NOT(ISERROR(SEARCH("WRITE SUPP",G29)))</formula>
    </cfRule>
  </conditionalFormatting>
  <conditionalFormatting sqref="J28:J37">
    <cfRule type="cellIs" dxfId="172" priority="168" operator="lessThan">
      <formula>$D$10</formula>
    </cfRule>
  </conditionalFormatting>
  <conditionalFormatting sqref="N29:N31">
    <cfRule type="containsText" dxfId="171" priority="163" operator="containsText" text="INVALID MARK">
      <formula>NOT(ISERROR(SEARCH("INVALID MARK",N29)))</formula>
    </cfRule>
    <cfRule type="containsText" dxfId="170" priority="164" operator="containsText" text="INVALID ENTRY">
      <formula>NOT(ISERROR(SEARCH("INVALID ENTRY",N29)))</formula>
    </cfRule>
    <cfRule type="containsText" dxfId="169" priority="165" operator="containsText" text="MISSING MARK">
      <formula>NOT(ISERROR(SEARCH("MISSING MARK",N29)))</formula>
    </cfRule>
  </conditionalFormatting>
  <conditionalFormatting sqref="H29:H31">
    <cfRule type="containsText" dxfId="168" priority="161" operator="containsText" text="FAIL">
      <formula>NOT(ISERROR(SEARCH("FAIL",H29)))</formula>
    </cfRule>
  </conditionalFormatting>
  <conditionalFormatting sqref="I29:I31">
    <cfRule type="containsText" dxfId="167" priority="157" operator="containsText" text="F">
      <formula>NOT(ISERROR(SEARCH("F",I29)))</formula>
    </cfRule>
    <cfRule type="containsText" dxfId="166" priority="158" operator="containsText" text="D">
      <formula>NOT(ISERROR(SEARCH("D",I29)))</formula>
    </cfRule>
    <cfRule type="containsText" dxfId="165" priority="159" operator="containsText" text="C">
      <formula>NOT(ISERROR(SEARCH("C",I29)))</formula>
    </cfRule>
    <cfRule type="containsText" dxfId="164" priority="160" operator="containsText" text="B">
      <formula>NOT(ISERROR(SEARCH("B",I29)))</formula>
    </cfRule>
  </conditionalFormatting>
  <conditionalFormatting sqref="O28">
    <cfRule type="containsText" dxfId="163" priority="154" operator="containsText" text="INVALID MARK">
      <formula>NOT(ISERROR(SEARCH("INVALID MARK",O28)))</formula>
    </cfRule>
    <cfRule type="containsText" dxfId="162" priority="155" operator="containsText" text="INVALID ENTRY">
      <formula>NOT(ISERROR(SEARCH("INVALID ENTRY",O28)))</formula>
    </cfRule>
    <cfRule type="containsText" dxfId="161" priority="156" operator="containsText" text="MISSING MARK">
      <formula>NOT(ISERROR(SEARCH("MISSING MARK",O28)))</formula>
    </cfRule>
  </conditionalFormatting>
  <conditionalFormatting sqref="O29:O31">
    <cfRule type="containsText" dxfId="160" priority="151" operator="containsText" text="INVALID MARK">
      <formula>NOT(ISERROR(SEARCH("INVALID MARK",O29)))</formula>
    </cfRule>
    <cfRule type="containsText" dxfId="159" priority="152" operator="containsText" text="INVALID ENTRY">
      <formula>NOT(ISERROR(SEARCH("INVALID ENTRY",O29)))</formula>
    </cfRule>
    <cfRule type="containsText" dxfId="158" priority="153" operator="containsText" text="MISSING MARK">
      <formula>NOT(ISERROR(SEARCH("MISSING MARK",O29)))</formula>
    </cfRule>
  </conditionalFormatting>
  <conditionalFormatting sqref="P28">
    <cfRule type="containsText" dxfId="157" priority="148" operator="containsText" text="INVALID MARK">
      <formula>NOT(ISERROR(SEARCH("INVALID MARK",P28)))</formula>
    </cfRule>
    <cfRule type="containsText" dxfId="156" priority="149" operator="containsText" text="INVALID ENTRY">
      <formula>NOT(ISERROR(SEARCH("INVALID ENTRY",P28)))</formula>
    </cfRule>
    <cfRule type="containsText" dxfId="155" priority="150" operator="containsText" text="MISSING MARK">
      <formula>NOT(ISERROR(SEARCH("MISSING MARK",P28)))</formula>
    </cfRule>
  </conditionalFormatting>
  <conditionalFormatting sqref="P29:P31">
    <cfRule type="containsText" dxfId="154" priority="145" operator="containsText" text="INVALID MARK">
      <formula>NOT(ISERROR(SEARCH("INVALID MARK",P29)))</formula>
    </cfRule>
    <cfRule type="containsText" dxfId="153" priority="146" operator="containsText" text="INVALID ENTRY">
      <formula>NOT(ISERROR(SEARCH("INVALID ENTRY",P29)))</formula>
    </cfRule>
    <cfRule type="containsText" dxfId="152" priority="147" operator="containsText" text="MISSING MARK">
      <formula>NOT(ISERROR(SEARCH("MISSING MARK",P29)))</formula>
    </cfRule>
  </conditionalFormatting>
  <conditionalFormatting sqref="Q28">
    <cfRule type="containsText" dxfId="151" priority="136" operator="containsText" text="INVALID MARK">
      <formula>NOT(ISERROR(SEARCH("INVALID MARK",Q28)))</formula>
    </cfRule>
    <cfRule type="containsText" dxfId="150" priority="137" operator="containsText" text="INVALID ENTRY">
      <formula>NOT(ISERROR(SEARCH("INVALID ENTRY",Q28)))</formula>
    </cfRule>
    <cfRule type="containsText" dxfId="149" priority="138" operator="containsText" text="MISSING MARK">
      <formula>NOT(ISERROR(SEARCH("MISSING MARK",Q28)))</formula>
    </cfRule>
  </conditionalFormatting>
  <conditionalFormatting sqref="Q29:Q31">
    <cfRule type="containsText" dxfId="148" priority="133" operator="containsText" text="INVALID MARK">
      <formula>NOT(ISERROR(SEARCH("INVALID MARK",Q29)))</formula>
    </cfRule>
    <cfRule type="containsText" dxfId="147" priority="134" operator="containsText" text="INVALID ENTRY">
      <formula>NOT(ISERROR(SEARCH("INVALID ENTRY",Q29)))</formula>
    </cfRule>
    <cfRule type="containsText" dxfId="146" priority="135" operator="containsText" text="MISSING MARK">
      <formula>NOT(ISERROR(SEARCH("MISSING MARK",Q29)))</formula>
    </cfRule>
  </conditionalFormatting>
  <conditionalFormatting sqref="I32:I36">
    <cfRule type="containsText" dxfId="145" priority="128" operator="containsText" text="A">
      <formula>NOT(ISERROR(SEARCH("A",I32)))</formula>
    </cfRule>
  </conditionalFormatting>
  <conditionalFormatting sqref="G32:G36">
    <cfRule type="containsText" dxfId="144" priority="127" operator="containsText" text="WRITE SUPP">
      <formula>NOT(ISERROR(SEARCH("WRITE SUPP",G32)))</formula>
    </cfRule>
  </conditionalFormatting>
  <conditionalFormatting sqref="N32:N36">
    <cfRule type="containsText" dxfId="142" priority="124" operator="containsText" text="INVALID MARK">
      <formula>NOT(ISERROR(SEARCH("INVALID MARK",N32)))</formula>
    </cfRule>
    <cfRule type="containsText" dxfId="141" priority="125" operator="containsText" text="INVALID ENTRY">
      <formula>NOT(ISERROR(SEARCH("INVALID ENTRY",N32)))</formula>
    </cfRule>
    <cfRule type="containsText" dxfId="140" priority="126" operator="containsText" text="MISSING MARK">
      <formula>NOT(ISERROR(SEARCH("MISSING MARK",N32)))</formula>
    </cfRule>
  </conditionalFormatting>
  <conditionalFormatting sqref="H32:H36">
    <cfRule type="containsText" dxfId="139" priority="122" operator="containsText" text="FAIL">
      <formula>NOT(ISERROR(SEARCH("FAIL",H32)))</formula>
    </cfRule>
  </conditionalFormatting>
  <conditionalFormatting sqref="I32:I36">
    <cfRule type="containsText" dxfId="138" priority="118" operator="containsText" text="F">
      <formula>NOT(ISERROR(SEARCH("F",I32)))</formula>
    </cfRule>
    <cfRule type="containsText" dxfId="137" priority="119" operator="containsText" text="D">
      <formula>NOT(ISERROR(SEARCH("D",I32)))</formula>
    </cfRule>
    <cfRule type="containsText" dxfId="136" priority="120" operator="containsText" text="C">
      <formula>NOT(ISERROR(SEARCH("C",I32)))</formula>
    </cfRule>
    <cfRule type="containsText" dxfId="135" priority="121" operator="containsText" text="B">
      <formula>NOT(ISERROR(SEARCH("B",I32)))</formula>
    </cfRule>
  </conditionalFormatting>
  <conditionalFormatting sqref="O32:O36">
    <cfRule type="containsText" dxfId="134" priority="115" operator="containsText" text="INVALID MARK">
      <formula>NOT(ISERROR(SEARCH("INVALID MARK",O32)))</formula>
    </cfRule>
    <cfRule type="containsText" dxfId="133" priority="116" operator="containsText" text="INVALID ENTRY">
      <formula>NOT(ISERROR(SEARCH("INVALID ENTRY",O32)))</formula>
    </cfRule>
    <cfRule type="containsText" dxfId="132" priority="117" operator="containsText" text="MISSING MARK">
      <formula>NOT(ISERROR(SEARCH("MISSING MARK",O32)))</formula>
    </cfRule>
  </conditionalFormatting>
  <conditionalFormatting sqref="P32:P36">
    <cfRule type="containsText" dxfId="131" priority="112" operator="containsText" text="INVALID MARK">
      <formula>NOT(ISERROR(SEARCH("INVALID MARK",P32)))</formula>
    </cfRule>
    <cfRule type="containsText" dxfId="130" priority="113" operator="containsText" text="INVALID ENTRY">
      <formula>NOT(ISERROR(SEARCH("INVALID ENTRY",P32)))</formula>
    </cfRule>
    <cfRule type="containsText" dxfId="129" priority="114" operator="containsText" text="MISSING MARK">
      <formula>NOT(ISERROR(SEARCH("MISSING MARK",P32)))</formula>
    </cfRule>
  </conditionalFormatting>
  <conditionalFormatting sqref="Q32:Q36">
    <cfRule type="containsText" dxfId="128" priority="109" operator="containsText" text="INVALID MARK">
      <formula>NOT(ISERROR(SEARCH("INVALID MARK",Q32)))</formula>
    </cfRule>
    <cfRule type="containsText" dxfId="127" priority="110" operator="containsText" text="INVALID ENTRY">
      <formula>NOT(ISERROR(SEARCH("INVALID ENTRY",Q32)))</formula>
    </cfRule>
    <cfRule type="containsText" dxfId="126" priority="111" operator="containsText" text="MISSING MARK">
      <formula>NOT(ISERROR(SEARCH("MISSING MARK",Q32)))</formula>
    </cfRule>
  </conditionalFormatting>
  <conditionalFormatting sqref="I37">
    <cfRule type="containsText" dxfId="125" priority="95" operator="containsText" text="A">
      <formula>NOT(ISERROR(SEARCH("A",I37)))</formula>
    </cfRule>
  </conditionalFormatting>
  <conditionalFormatting sqref="G37">
    <cfRule type="containsText" dxfId="124" priority="94" operator="containsText" text="WRITE SUPP">
      <formula>NOT(ISERROR(SEARCH("WRITE SUPP",G37)))</formula>
    </cfRule>
  </conditionalFormatting>
  <conditionalFormatting sqref="N37">
    <cfRule type="containsText" dxfId="122" priority="91" operator="containsText" text="INVALID MARK">
      <formula>NOT(ISERROR(SEARCH("INVALID MARK",N37)))</formula>
    </cfRule>
    <cfRule type="containsText" dxfId="121" priority="92" operator="containsText" text="INVALID ENTRY">
      <formula>NOT(ISERROR(SEARCH("INVALID ENTRY",N37)))</formula>
    </cfRule>
    <cfRule type="containsText" dxfId="120" priority="93" operator="containsText" text="MISSING MARK">
      <formula>NOT(ISERROR(SEARCH("MISSING MARK",N37)))</formula>
    </cfRule>
  </conditionalFormatting>
  <conditionalFormatting sqref="H37">
    <cfRule type="containsText" dxfId="119" priority="89" operator="containsText" text="FAIL">
      <formula>NOT(ISERROR(SEARCH("FAIL",H37)))</formula>
    </cfRule>
  </conditionalFormatting>
  <conditionalFormatting sqref="I37">
    <cfRule type="containsText" dxfId="118" priority="85" operator="containsText" text="F">
      <formula>NOT(ISERROR(SEARCH("F",I37)))</formula>
    </cfRule>
    <cfRule type="containsText" dxfId="117" priority="86" operator="containsText" text="D">
      <formula>NOT(ISERROR(SEARCH("D",I37)))</formula>
    </cfRule>
    <cfRule type="containsText" dxfId="116" priority="87" operator="containsText" text="C">
      <formula>NOT(ISERROR(SEARCH("C",I37)))</formula>
    </cfRule>
    <cfRule type="containsText" dxfId="115" priority="88" operator="containsText" text="B">
      <formula>NOT(ISERROR(SEARCH("B",I37)))</formula>
    </cfRule>
  </conditionalFormatting>
  <conditionalFormatting sqref="O37">
    <cfRule type="containsText" dxfId="114" priority="82" operator="containsText" text="INVALID MARK">
      <formula>NOT(ISERROR(SEARCH("INVALID MARK",O37)))</formula>
    </cfRule>
    <cfRule type="containsText" dxfId="113" priority="83" operator="containsText" text="INVALID ENTRY">
      <formula>NOT(ISERROR(SEARCH("INVALID ENTRY",O37)))</formula>
    </cfRule>
    <cfRule type="containsText" dxfId="112" priority="84" operator="containsText" text="MISSING MARK">
      <formula>NOT(ISERROR(SEARCH("MISSING MARK",O37)))</formula>
    </cfRule>
  </conditionalFormatting>
  <conditionalFormatting sqref="P37">
    <cfRule type="containsText" dxfId="111" priority="79" operator="containsText" text="INVALID MARK">
      <formula>NOT(ISERROR(SEARCH("INVALID MARK",P37)))</formula>
    </cfRule>
    <cfRule type="containsText" dxfId="110" priority="80" operator="containsText" text="INVALID ENTRY">
      <formula>NOT(ISERROR(SEARCH("INVALID ENTRY",P37)))</formula>
    </cfRule>
    <cfRule type="containsText" dxfId="109" priority="81" operator="containsText" text="MISSING MARK">
      <formula>NOT(ISERROR(SEARCH("MISSING MARK",P37)))</formula>
    </cfRule>
  </conditionalFormatting>
  <conditionalFormatting sqref="Q37">
    <cfRule type="containsText" dxfId="108" priority="76" operator="containsText" text="INVALID MARK">
      <formula>NOT(ISERROR(SEARCH("INVALID MARK",Q37)))</formula>
    </cfRule>
    <cfRule type="containsText" dxfId="107" priority="77" operator="containsText" text="INVALID ENTRY">
      <formula>NOT(ISERROR(SEARCH("INVALID ENTRY",Q37)))</formula>
    </cfRule>
    <cfRule type="containsText" dxfId="106" priority="78" operator="containsText" text="MISSING MARK">
      <formula>NOT(ISERROR(SEARCH("MISSING MARK",Q37)))</formula>
    </cfRule>
  </conditionalFormatting>
  <dataValidations count="3">
    <dataValidation type="decimal" allowBlank="1" showInputMessage="1" showErrorMessage="1" sqref="D10:D13">
      <formula1>0</formula1>
      <formula2>1</formula2>
    </dataValidation>
    <dataValidation type="whole" allowBlank="1" showInputMessage="1" showErrorMessage="1" sqref="D7">
      <formula1>0</formula1>
      <formula2>200</formula2>
    </dataValidation>
    <dataValidation type="whole" allowBlank="1" showInputMessage="1" showErrorMessage="1" sqref="D8">
      <formula1>0</formula1>
      <formula2>20</formula2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Test">
                <anchor moveWithCells="1" sizeWithCells="1">
                  <from>
                    <xdr:col>19</xdr:col>
                    <xdr:colOff>266700</xdr:colOff>
                    <xdr:row>2</xdr:row>
                    <xdr:rowOff>95250</xdr:rowOff>
                  </from>
                  <to>
                    <xdr:col>20</xdr:col>
                    <xdr:colOff>361950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DV16"/>
  <sheetViews>
    <sheetView zoomScaleNormal="100" workbookViewId="0"/>
  </sheetViews>
  <sheetFormatPr defaultRowHeight="15" x14ac:dyDescent="0.25"/>
  <cols>
    <col min="1" max="1" width="9.140625" style="5"/>
    <col min="2" max="2" width="9.140625" style="5" customWidth="1"/>
    <col min="3" max="3" width="11" style="5" bestFit="1" customWidth="1"/>
    <col min="4" max="4" width="6.85546875" style="5" bestFit="1" customWidth="1"/>
    <col min="5" max="5" width="17.28515625" style="5" customWidth="1"/>
    <col min="6" max="6" width="17.28515625" style="5" bestFit="1" customWidth="1"/>
    <col min="7" max="7" width="15.85546875" style="5" bestFit="1" customWidth="1"/>
    <col min="8" max="8" width="15.85546875" style="4" bestFit="1" customWidth="1"/>
    <col min="9" max="9" width="14.42578125" style="19" bestFit="1" customWidth="1"/>
    <col min="10" max="10" width="11" style="8" bestFit="1" customWidth="1"/>
    <col min="11" max="11" width="29.140625" style="17" bestFit="1" customWidth="1"/>
    <col min="12" max="21" width="18.85546875" style="9" customWidth="1"/>
    <col min="22" max="24" width="9.140625" style="5"/>
    <col min="25" max="25" width="11" style="5" bestFit="1" customWidth="1"/>
    <col min="26" max="26" width="6.85546875" style="5" bestFit="1" customWidth="1"/>
    <col min="27" max="27" width="16.42578125" style="5" bestFit="1" customWidth="1"/>
    <col min="28" max="28" width="13.85546875" style="5" bestFit="1" customWidth="1"/>
    <col min="29" max="30" width="15.85546875" style="5" bestFit="1" customWidth="1"/>
    <col min="31" max="31" width="10.28515625" style="5" bestFit="1" customWidth="1"/>
    <col min="32" max="33" width="9.42578125" style="5" bestFit="1" customWidth="1"/>
    <col min="34" max="40" width="9" style="5" bestFit="1" customWidth="1"/>
    <col min="41" max="41" width="10" style="5" bestFit="1" customWidth="1"/>
    <col min="42" max="42" width="11" style="5" bestFit="1" customWidth="1"/>
    <col min="43" max="16384" width="9.140625" style="5"/>
  </cols>
  <sheetData>
    <row r="3" spans="3:126" ht="15.75" thickBot="1" x14ac:dyDescent="0.3">
      <c r="C3" s="7" t="s">
        <v>6</v>
      </c>
      <c r="D3" s="3" t="str">
        <f ca="1">MID(CELL("filename",A1),FIND("]",CELL("filename",A1))+1,255)</f>
        <v>Test 1</v>
      </c>
      <c r="F3" s="7" t="s">
        <v>75</v>
      </c>
      <c r="G3" s="4">
        <v>0</v>
      </c>
    </row>
    <row r="4" spans="3:126" ht="123.75" customHeight="1" thickBot="1" x14ac:dyDescent="0.3">
      <c r="C4" s="21"/>
      <c r="F4" s="131" t="s">
        <v>76</v>
      </c>
      <c r="G4" s="131"/>
      <c r="K4" s="95" t="s">
        <v>73</v>
      </c>
      <c r="L4" s="92" t="s">
        <v>74</v>
      </c>
      <c r="M4" s="92"/>
      <c r="N4" s="92"/>
      <c r="O4" s="93"/>
      <c r="P4" s="93"/>
      <c r="Q4" s="93"/>
      <c r="R4" s="93"/>
      <c r="S4" s="93"/>
      <c r="T4" s="93"/>
      <c r="U4" s="94"/>
      <c r="Y4" s="7"/>
      <c r="Z4" s="3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T4" s="7"/>
      <c r="AU4" s="3"/>
      <c r="AY4" s="4"/>
      <c r="AZ4" s="17"/>
      <c r="BA4" s="9"/>
      <c r="BB4" s="9"/>
      <c r="BC4" s="9"/>
      <c r="BD4" s="9"/>
      <c r="BE4" s="9"/>
      <c r="BF4" s="9"/>
      <c r="BG4" s="9"/>
      <c r="BH4" s="9"/>
      <c r="BI4" s="9"/>
      <c r="BJ4" s="9"/>
      <c r="BK4" s="8"/>
      <c r="BO4" s="7"/>
      <c r="BP4" s="3"/>
      <c r="BT4" s="4"/>
      <c r="BU4" s="17"/>
      <c r="BV4" s="9"/>
      <c r="BW4" s="9"/>
      <c r="BX4" s="9"/>
      <c r="BY4" s="9"/>
      <c r="BZ4" s="9"/>
      <c r="CA4" s="9"/>
      <c r="CB4" s="9"/>
      <c r="CC4" s="9"/>
      <c r="CD4" s="9"/>
      <c r="CE4" s="9"/>
      <c r="CF4" s="8"/>
      <c r="CJ4" s="7"/>
      <c r="CK4" s="3"/>
      <c r="CO4" s="4"/>
      <c r="CP4" s="17"/>
      <c r="CQ4" s="9"/>
      <c r="CR4" s="9"/>
      <c r="CS4" s="9"/>
      <c r="CT4" s="9"/>
      <c r="CU4" s="9"/>
      <c r="CV4" s="9"/>
      <c r="CW4" s="9"/>
      <c r="CX4" s="9"/>
      <c r="CY4" s="9"/>
      <c r="CZ4" s="9"/>
      <c r="DA4" s="8"/>
      <c r="DE4" s="7"/>
      <c r="DF4" s="3"/>
      <c r="DJ4" s="4"/>
      <c r="DK4" s="17"/>
      <c r="DL4" s="9"/>
      <c r="DM4" s="9"/>
      <c r="DN4" s="9"/>
      <c r="DO4" s="9"/>
      <c r="DP4" s="9"/>
      <c r="DQ4" s="9"/>
      <c r="DR4" s="9"/>
      <c r="DS4" s="9"/>
      <c r="DT4" s="9"/>
      <c r="DU4" s="9"/>
      <c r="DV4" s="8"/>
    </row>
    <row r="5" spans="3:126" s="7" customFormat="1" ht="15.75" thickBot="1" x14ac:dyDescent="0.3"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56</v>
      </c>
      <c r="M5" s="86" t="s">
        <v>57</v>
      </c>
      <c r="N5" s="86" t="s">
        <v>58</v>
      </c>
      <c r="O5" s="86" t="s">
        <v>59</v>
      </c>
      <c r="P5" s="86" t="s">
        <v>60</v>
      </c>
      <c r="Q5" s="86" t="s">
        <v>61</v>
      </c>
      <c r="R5" s="86" t="s">
        <v>62</v>
      </c>
      <c r="S5" s="86" t="s">
        <v>63</v>
      </c>
      <c r="T5" s="86" t="s">
        <v>64</v>
      </c>
      <c r="U5" s="86" t="s">
        <v>65</v>
      </c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Y5" s="6"/>
      <c r="AZ5" s="12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0"/>
      <c r="BT5" s="6"/>
      <c r="BU5" s="12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0"/>
      <c r="CO5" s="6"/>
      <c r="CP5" s="12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0"/>
      <c r="DJ5" s="6"/>
      <c r="DK5" s="12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0"/>
    </row>
    <row r="6" spans="3:126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</v>
      </c>
      <c r="J6" s="79"/>
      <c r="K6" s="80">
        <f t="shared" ref="K6" si="0">SUM(L6:U6)</f>
        <v>10</v>
      </c>
      <c r="L6" s="81">
        <v>10</v>
      </c>
      <c r="M6" s="81"/>
      <c r="N6" s="81"/>
      <c r="O6" s="81"/>
      <c r="P6" s="81"/>
      <c r="Q6" s="81"/>
      <c r="R6" s="81"/>
      <c r="S6" s="81"/>
      <c r="T6" s="81"/>
      <c r="U6" s="81"/>
      <c r="V6" s="34"/>
      <c r="Z6" s="13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U6" s="13"/>
      <c r="AY6" s="16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P6" s="13"/>
      <c r="BT6" s="16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K6" s="13"/>
      <c r="CO6" s="16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F6" s="13"/>
      <c r="DJ6" s="16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</row>
    <row r="7" spans="3:126" x14ac:dyDescent="0.25"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" si="1">IF(K7/K$6-J7&gt;=0, K7/K$6-J7, 0)</f>
        <v>0.4</v>
      </c>
      <c r="I7" s="20">
        <f>IF(ISOVERMAX(L7:U7),"INVALID MARK",IF(COUNT(L7:U7)=COUNT(L$6:U$6),IFERROR(H7*K$6,),IF(COUNT(L7:U7)&lt;COUNT(L$6:U$6),"MISSING MARK","INVALID ENTRY")))</f>
        <v>4</v>
      </c>
      <c r="J7" s="28">
        <v>0</v>
      </c>
      <c r="K7" s="24">
        <f t="shared" ref="K7" si="2">SUM(L7:U7)</f>
        <v>4</v>
      </c>
      <c r="L7" s="9">
        <v>4</v>
      </c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Y7" s="18"/>
      <c r="AZ7" s="17"/>
      <c r="BA7" s="9"/>
      <c r="BB7" s="9"/>
      <c r="BC7" s="9"/>
      <c r="BD7" s="9"/>
      <c r="BE7" s="9"/>
      <c r="BF7" s="9"/>
      <c r="BG7" s="9"/>
      <c r="BH7" s="9"/>
      <c r="BI7" s="9"/>
      <c r="BJ7" s="9"/>
      <c r="BK7" s="8"/>
      <c r="BT7" s="18"/>
      <c r="BU7" s="17"/>
      <c r="BV7" s="9"/>
      <c r="BW7" s="9"/>
      <c r="BX7" s="9"/>
      <c r="BY7" s="9"/>
      <c r="BZ7" s="9"/>
      <c r="CA7" s="9"/>
      <c r="CB7" s="9"/>
      <c r="CC7" s="9"/>
      <c r="CD7" s="9"/>
      <c r="CE7" s="9"/>
      <c r="CF7" s="8"/>
      <c r="CO7" s="18"/>
      <c r="CP7" s="17"/>
      <c r="CQ7" s="9"/>
      <c r="CR7" s="9"/>
      <c r="CS7" s="9"/>
      <c r="CT7" s="9"/>
      <c r="CU7" s="9"/>
      <c r="CV7" s="9"/>
      <c r="CW7" s="9"/>
      <c r="CX7" s="9"/>
      <c r="CY7" s="9"/>
      <c r="CZ7" s="9"/>
      <c r="DA7" s="8"/>
      <c r="DJ7" s="18"/>
      <c r="DK7" s="17"/>
      <c r="DL7" s="9"/>
      <c r="DM7" s="9"/>
      <c r="DN7" s="9"/>
      <c r="DO7" s="9"/>
      <c r="DP7" s="9"/>
      <c r="DQ7" s="9"/>
      <c r="DR7" s="9"/>
      <c r="DS7" s="9"/>
      <c r="DT7" s="9"/>
      <c r="DU7" s="9"/>
      <c r="DV7" s="8"/>
    </row>
    <row r="8" spans="3:126" x14ac:dyDescent="0.25"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ref="H8:H10" si="4">IF(K8/K$6-J8&gt;=0, K8/K$6-J8, 0)</f>
        <v>0.8</v>
      </c>
      <c r="I8" s="20">
        <f>IF(ISOVERMAX(L8:U8),"INVALID MARK",IF(COUNT(L8:U8)=COUNT(L$6:U$6),IFERROR(H8*K$6,),IF(COUNT(L8:U8)&lt;COUNT(L$6:U$6),"MISSING MARK","INVALID ENTRY")))</f>
        <v>8</v>
      </c>
      <c r="J8" s="28">
        <v>0</v>
      </c>
      <c r="K8" s="24">
        <f t="shared" ref="K8:K10" si="5">SUM(L8:U8)</f>
        <v>8</v>
      </c>
      <c r="L8" s="9">
        <v>8</v>
      </c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Y8" s="18"/>
      <c r="AZ8" s="17"/>
      <c r="BA8" s="9"/>
      <c r="BB8" s="9"/>
      <c r="BC8" s="9"/>
      <c r="BD8" s="9"/>
      <c r="BE8" s="9"/>
      <c r="BF8" s="9"/>
      <c r="BG8" s="9"/>
      <c r="BH8" s="9"/>
      <c r="BI8" s="9"/>
      <c r="BJ8" s="9"/>
      <c r="BK8" s="8"/>
      <c r="BT8" s="18"/>
      <c r="BU8" s="17"/>
      <c r="BV8" s="9"/>
      <c r="BW8" s="9"/>
      <c r="BX8" s="9"/>
      <c r="BY8" s="9"/>
      <c r="BZ8" s="9"/>
      <c r="CA8" s="9"/>
      <c r="CB8" s="9"/>
      <c r="CC8" s="9"/>
      <c r="CD8" s="9"/>
      <c r="CE8" s="9"/>
      <c r="CF8" s="8"/>
      <c r="CO8" s="18"/>
      <c r="CP8" s="17"/>
      <c r="CQ8" s="9"/>
      <c r="CR8" s="9"/>
      <c r="CS8" s="9"/>
      <c r="CT8" s="9"/>
      <c r="CU8" s="9"/>
      <c r="CV8" s="9"/>
      <c r="CW8" s="9"/>
      <c r="CX8" s="9"/>
      <c r="CY8" s="9"/>
      <c r="CZ8" s="9"/>
      <c r="DA8" s="8"/>
      <c r="DJ8" s="18"/>
      <c r="DK8" s="17"/>
      <c r="DL8" s="9"/>
      <c r="DM8" s="9"/>
      <c r="DN8" s="9"/>
      <c r="DO8" s="9"/>
      <c r="DP8" s="9"/>
      <c r="DQ8" s="9"/>
      <c r="DR8" s="9"/>
      <c r="DS8" s="9"/>
      <c r="DT8" s="9"/>
      <c r="DU8" s="9"/>
      <c r="DV8" s="8"/>
    </row>
    <row r="9" spans="3:126" x14ac:dyDescent="0.25"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4"/>
        <v>0.4</v>
      </c>
      <c r="I9" s="20">
        <f>IF(ISOVERMAX(L9:U9),"INVALID MARK",IF(COUNT(L9:U9)=COUNT(L$6:U$6),IFERROR(H9*K$6,),IF(COUNT(L9:U9)&lt;COUNT(L$6:U$6),"MISSING MARK","INVALID ENTRY")))</f>
        <v>4</v>
      </c>
      <c r="J9" s="28">
        <v>0</v>
      </c>
      <c r="K9" s="24">
        <f t="shared" si="5"/>
        <v>4</v>
      </c>
      <c r="L9" s="9">
        <v>4</v>
      </c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Y9" s="18"/>
      <c r="AZ9" s="17"/>
      <c r="BA9" s="9"/>
      <c r="BB9" s="9"/>
      <c r="BC9" s="9"/>
      <c r="BD9" s="9"/>
      <c r="BE9" s="9"/>
      <c r="BF9" s="9"/>
      <c r="BG9" s="9"/>
      <c r="BH9" s="9"/>
      <c r="BI9" s="9"/>
      <c r="BJ9" s="9"/>
      <c r="BK9" s="8"/>
      <c r="BT9" s="18"/>
      <c r="BU9" s="17"/>
      <c r="BV9" s="9"/>
      <c r="BW9" s="9"/>
      <c r="BX9" s="9"/>
      <c r="BY9" s="9"/>
      <c r="BZ9" s="9"/>
      <c r="CA9" s="9"/>
      <c r="CB9" s="9"/>
      <c r="CC9" s="9"/>
      <c r="CD9" s="9"/>
      <c r="CE9" s="9"/>
      <c r="CF9" s="8"/>
      <c r="CO9" s="18"/>
      <c r="CP9" s="17"/>
      <c r="CQ9" s="9"/>
      <c r="CR9" s="9"/>
      <c r="CS9" s="9"/>
      <c r="CT9" s="9"/>
      <c r="CU9" s="9"/>
      <c r="CV9" s="9"/>
      <c r="CW9" s="9"/>
      <c r="CX9" s="9"/>
      <c r="CY9" s="9"/>
      <c r="CZ9" s="9"/>
      <c r="DA9" s="8"/>
      <c r="DJ9" s="18"/>
      <c r="DK9" s="17"/>
      <c r="DL9" s="9"/>
      <c r="DM9" s="9"/>
      <c r="DN9" s="9"/>
      <c r="DO9" s="9"/>
      <c r="DP9" s="9"/>
      <c r="DQ9" s="9"/>
      <c r="DR9" s="9"/>
      <c r="DS9" s="9"/>
      <c r="DT9" s="9"/>
      <c r="DU9" s="9"/>
      <c r="DV9" s="8"/>
    </row>
    <row r="10" spans="3:126" x14ac:dyDescent="0.25"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4"/>
        <v>0.5</v>
      </c>
      <c r="I10" s="20">
        <f>IF(ISOVERMAX(L10:U10),"INVALID MARK",IF(COUNT(L10:U10)=COUNT(L$6:U$6),IFERROR(H10*K$6,),IF(COUNT(L10:U10)&lt;COUNT(L$6:U$6),"MISSING MARK","INVALID ENTRY")))</f>
        <v>5</v>
      </c>
      <c r="J10" s="28">
        <v>0</v>
      </c>
      <c r="K10" s="24">
        <f t="shared" si="5"/>
        <v>5</v>
      </c>
      <c r="L10" s="9">
        <v>5</v>
      </c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Y10" s="18"/>
      <c r="AZ10" s="17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8"/>
      <c r="BT10" s="18"/>
      <c r="BU10" s="17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8"/>
      <c r="CO10" s="18"/>
      <c r="CP10" s="17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8"/>
      <c r="DJ10" s="18"/>
      <c r="DK10" s="17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8"/>
    </row>
    <row r="11" spans="3:126" x14ac:dyDescent="0.25">
      <c r="D11" s="2" t="str">
        <f t="shared" ref="D11:D15" si="6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7">IF(K11/K$6-J11&gt;=0, K11/K$6-J11, 0)</f>
        <v>0.6</v>
      </c>
      <c r="I11" s="20">
        <f>IF(ISOVERMAX(L11:U11),"INVALID MARK",IF(COUNT(L11:U11)=COUNT(L$6:U$6),IFERROR(H11*K$6,),IF(COUNT(L11:U11)&lt;COUNT(L$6:U$6),"MISSING MARK","INVALID ENTRY")))</f>
        <v>6</v>
      </c>
      <c r="J11" s="28">
        <v>0</v>
      </c>
      <c r="K11" s="24">
        <f t="shared" ref="K11:K15" si="8">SUM(L11:U11)</f>
        <v>6</v>
      </c>
      <c r="L11" s="9">
        <v>6</v>
      </c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Y11" s="18"/>
      <c r="AZ11" s="17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8"/>
      <c r="BT11" s="18"/>
      <c r="BU11" s="17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8"/>
      <c r="CO11" s="18"/>
      <c r="CP11" s="17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8"/>
      <c r="DJ11" s="18"/>
      <c r="DK11" s="17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8"/>
    </row>
    <row r="12" spans="3:126" x14ac:dyDescent="0.25">
      <c r="D12" s="2" t="str">
        <f t="shared" si="6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7"/>
        <v>0.35000000000000003</v>
      </c>
      <c r="I12" s="20">
        <f>IF(ISOVERMAX(L12:U12),"INVALID MARK",IF(COUNT(L12:U12)=COUNT(L$6:U$6),IFERROR(H12*K$6,),IF(COUNT(L12:U12)&lt;COUNT(L$6:U$6),"MISSING MARK","INVALID ENTRY")))</f>
        <v>3.5000000000000004</v>
      </c>
      <c r="J12" s="28">
        <v>0.05</v>
      </c>
      <c r="K12" s="24">
        <f t="shared" si="8"/>
        <v>4</v>
      </c>
      <c r="L12" s="9">
        <v>4</v>
      </c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Y12" s="18"/>
      <c r="AZ12" s="17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8"/>
      <c r="BT12" s="18"/>
      <c r="BU12" s="17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8"/>
      <c r="CO12" s="18"/>
      <c r="CP12" s="17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8"/>
      <c r="DJ12" s="18"/>
      <c r="DK12" s="17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8"/>
    </row>
    <row r="13" spans="3:126" x14ac:dyDescent="0.25">
      <c r="D13" s="2" t="str">
        <f t="shared" si="6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7"/>
        <v>0.6</v>
      </c>
      <c r="I13" s="20">
        <f>IF(ISOVERMAX(L13:U13),"INVALID MARK",IF(COUNT(L13:U13)=COUNT(L$6:U$6),IFERROR(H13*K$6,),IF(COUNT(L13:U13)&lt;COUNT(L$6:U$6),"MISSING MARK","INVALID ENTRY")))</f>
        <v>6</v>
      </c>
      <c r="J13" s="28">
        <v>0</v>
      </c>
      <c r="K13" s="24">
        <f t="shared" si="8"/>
        <v>6</v>
      </c>
      <c r="L13" s="9">
        <v>6</v>
      </c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Y13" s="18"/>
      <c r="AZ13" s="17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8"/>
      <c r="BT13" s="18"/>
      <c r="BU13" s="17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8"/>
      <c r="CO13" s="18"/>
      <c r="CP13" s="17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8"/>
      <c r="DJ13" s="18"/>
      <c r="DK13" s="17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8"/>
    </row>
    <row r="14" spans="3:126" x14ac:dyDescent="0.25">
      <c r="D14" s="2" t="str">
        <f t="shared" si="6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7"/>
        <v>5.6</v>
      </c>
      <c r="I14" s="20" t="str">
        <f>IF(ISOVERMAX(L14:U14),"INVALID MARK",IF(COUNT(L14:U14)=COUNT(L$6:U$6),IFERROR(H14*K$6,),IF(COUNT(L14:U14)&lt;COUNT(L$6:U$6),"MISSING MARK","INVALID ENTRY")))</f>
        <v>INVALID MARK</v>
      </c>
      <c r="J14" s="28">
        <v>0</v>
      </c>
      <c r="K14" s="24">
        <f t="shared" si="8"/>
        <v>56</v>
      </c>
      <c r="L14" s="9">
        <v>56</v>
      </c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Y14" s="18"/>
      <c r="AZ14" s="17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8"/>
      <c r="BT14" s="18"/>
      <c r="BU14" s="17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8"/>
      <c r="CO14" s="18"/>
      <c r="CP14" s="17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8"/>
      <c r="DJ14" s="18"/>
      <c r="DK14" s="17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8"/>
    </row>
    <row r="15" spans="3:126" x14ac:dyDescent="0.25">
      <c r="D15" s="2" t="str">
        <f t="shared" si="6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7"/>
        <v>0.9</v>
      </c>
      <c r="I15" s="20">
        <f>IF(ISOVERMAX(L15:U15),"INVALID MARK",IF(COUNT(L15:U15)=COUNT(L$6:U$6),IFERROR(H15*K$6,),IF(COUNT(L15:U15)&lt;COUNT(L$6:U$6),"MISSING MARK","INVALID ENTRY")))</f>
        <v>9</v>
      </c>
      <c r="J15" s="28">
        <v>0</v>
      </c>
      <c r="K15" s="24">
        <f t="shared" si="8"/>
        <v>9</v>
      </c>
      <c r="L15" s="9">
        <v>9</v>
      </c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Y15" s="18"/>
      <c r="AZ15" s="17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8"/>
      <c r="BT15" s="18"/>
      <c r="BU15" s="17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8"/>
      <c r="CO15" s="18"/>
      <c r="CP15" s="17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8"/>
      <c r="DJ15" s="18"/>
      <c r="DK15" s="17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8"/>
    </row>
    <row r="16" spans="3:126" x14ac:dyDescent="0.25">
      <c r="D16" s="2" t="str">
        <f t="shared" ref="D16" si="9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10">IF(K16/K$6-J16&gt;=0, K16/K$6-J16, 0)</f>
        <v>1</v>
      </c>
      <c r="I16" s="20">
        <f>IF(ISOVERMAX(L16:U16),"INVALID MARK",IF(COUNT(L16:U16)=COUNT(L$6:U$6),IFERROR(H16*K$6,),IF(COUNT(L16:U16)&lt;COUNT(L$6:U$6),"MISSING MARK","INVALID ENTRY")))</f>
        <v>10</v>
      </c>
      <c r="J16" s="28">
        <v>0</v>
      </c>
      <c r="K16" s="24">
        <f t="shared" ref="K16" si="11">SUM(L16:U16)</f>
        <v>10</v>
      </c>
      <c r="L16" s="9">
        <v>10</v>
      </c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Y16" s="18"/>
      <c r="AZ16" s="17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8"/>
      <c r="BT16" s="18"/>
      <c r="BU16" s="17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8"/>
      <c r="CO16" s="18"/>
      <c r="CP16" s="17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8"/>
      <c r="DJ16" s="18"/>
      <c r="DK16" s="17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8"/>
    </row>
  </sheetData>
  <mergeCells count="1">
    <mergeCell ref="F4:G4"/>
  </mergeCells>
  <conditionalFormatting sqref="I7">
    <cfRule type="containsText" dxfId="105" priority="211" operator="containsText" text="INVALID MARK">
      <formula>NOT(ISERROR(SEARCH("INVALID MARK",I7)))</formula>
    </cfRule>
    <cfRule type="containsText" dxfId="104" priority="212" operator="containsText" text="INVALID ENTRY">
      <formula>NOT(ISERROR(SEARCH("INVALID ENTRY",I7)))</formula>
    </cfRule>
    <cfRule type="containsText" dxfId="103" priority="213" operator="containsText" text="MISSING MARK">
      <formula>NOT(ISERROR(SEARCH("MISSING MARK",I7)))</formula>
    </cfRule>
  </conditionalFormatting>
  <conditionalFormatting sqref="D7">
    <cfRule type="containsText" dxfId="102" priority="41" operator="containsText" text="FAIL">
      <formula>NOT(ISERROR(SEARCH("FAIL",D7)))</formula>
    </cfRule>
    <cfRule type="containsText" dxfId="101" priority="42" operator="containsText" text="PASS">
      <formula>NOT(ISERROR(SEARCH("PASS",D7)))</formula>
    </cfRule>
  </conditionalFormatting>
  <conditionalFormatting sqref="I8:I10">
    <cfRule type="containsText" dxfId="100" priority="28" operator="containsText" text="INVALID MARK">
      <formula>NOT(ISERROR(SEARCH("INVALID MARK",I8)))</formula>
    </cfRule>
    <cfRule type="containsText" dxfId="99" priority="29" operator="containsText" text="INVALID ENTRY">
      <formula>NOT(ISERROR(SEARCH("INVALID ENTRY",I8)))</formula>
    </cfRule>
    <cfRule type="containsText" dxfId="98" priority="30" operator="containsText" text="MISSING MARK">
      <formula>NOT(ISERROR(SEARCH("MISSING MARK",I8)))</formula>
    </cfRule>
  </conditionalFormatting>
  <conditionalFormatting sqref="D8:D10">
    <cfRule type="containsText" dxfId="97" priority="26" operator="containsText" text="FAIL">
      <formula>NOT(ISERROR(SEARCH("FAIL",D8)))</formula>
    </cfRule>
    <cfRule type="containsText" dxfId="96" priority="27" operator="containsText" text="PASS">
      <formula>NOT(ISERROR(SEARCH("PASS",D8)))</formula>
    </cfRule>
  </conditionalFormatting>
  <conditionalFormatting sqref="I11:I15">
    <cfRule type="containsText" dxfId="95" priority="23" operator="containsText" text="INVALID MARK">
      <formula>NOT(ISERROR(SEARCH("INVALID MARK",I11)))</formula>
    </cfRule>
    <cfRule type="containsText" dxfId="94" priority="24" operator="containsText" text="INVALID ENTRY">
      <formula>NOT(ISERROR(SEARCH("INVALID ENTRY",I11)))</formula>
    </cfRule>
    <cfRule type="containsText" dxfId="93" priority="25" operator="containsText" text="MISSING MARK">
      <formula>NOT(ISERROR(SEARCH("MISSING MARK",I11)))</formula>
    </cfRule>
  </conditionalFormatting>
  <conditionalFormatting sqref="D11:D15">
    <cfRule type="containsText" dxfId="92" priority="21" operator="containsText" text="FAIL">
      <formula>NOT(ISERROR(SEARCH("FAIL",D11)))</formula>
    </cfRule>
    <cfRule type="containsText" dxfId="91" priority="22" operator="containsText" text="PASS">
      <formula>NOT(ISERROR(SEARCH("PASS",D11)))</formula>
    </cfRule>
  </conditionalFormatting>
  <conditionalFormatting sqref="I16">
    <cfRule type="containsText" dxfId="90" priority="18" operator="containsText" text="INVALID MARK">
      <formula>NOT(ISERROR(SEARCH("INVALID MARK",I16)))</formula>
    </cfRule>
    <cfRule type="containsText" dxfId="89" priority="19" operator="containsText" text="INVALID ENTRY">
      <formula>NOT(ISERROR(SEARCH("INVALID ENTRY",I16)))</formula>
    </cfRule>
    <cfRule type="containsText" dxfId="88" priority="20" operator="containsText" text="MISSING MARK">
      <formula>NOT(ISERROR(SEARCH("MISSING MARK",I16)))</formula>
    </cfRule>
  </conditionalFormatting>
  <conditionalFormatting sqref="D16">
    <cfRule type="containsText" dxfId="87" priority="16" operator="containsText" text="FAIL">
      <formula>NOT(ISERROR(SEARCH("FAIL",D16)))</formula>
    </cfRule>
    <cfRule type="containsText" dxfId="86" priority="17" operator="containsText" text="PASS">
      <formula>NOT(ISERROR(SEARCH("PASS",D16)))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433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2</v>
      </c>
      <c r="E3" s="5"/>
      <c r="F3" s="7" t="s">
        <v>75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31" t="s">
        <v>76</v>
      </c>
      <c r="G4" s="131"/>
      <c r="H4" s="4"/>
      <c r="I4" s="19"/>
      <c r="J4" s="8"/>
      <c r="K4" s="95" t="s">
        <v>73</v>
      </c>
      <c r="L4" s="92" t="s">
        <v>74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56</v>
      </c>
      <c r="M5" s="86" t="s">
        <v>57</v>
      </c>
      <c r="N5" s="86" t="s">
        <v>58</v>
      </c>
      <c r="O5" s="86" t="s">
        <v>59</v>
      </c>
      <c r="P5" s="86" t="s">
        <v>60</v>
      </c>
      <c r="Q5" s="86" t="s">
        <v>61</v>
      </c>
      <c r="R5" s="86" t="s">
        <v>62</v>
      </c>
      <c r="S5" s="86" t="s">
        <v>63</v>
      </c>
      <c r="T5" s="86" t="s">
        <v>64</v>
      </c>
      <c r="U5" s="86" t="s">
        <v>65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30</v>
      </c>
      <c r="J6" s="79"/>
      <c r="K6" s="80">
        <f t="shared" ref="K6" si="0">SUM(L6:U6)</f>
        <v>30</v>
      </c>
      <c r="L6" s="81">
        <v>10</v>
      </c>
      <c r="M6" s="81">
        <v>15</v>
      </c>
      <c r="N6" s="81">
        <v>5</v>
      </c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0.68333333333333335</v>
      </c>
      <c r="I7" s="20">
        <f>IF(ISOVERMAX(L7:U7),"INVALID MARK",IF(COUNT(L7:U7)=COUNT(L$6:U$6),IFERROR(H7*K$6,),IF(COUNT(L7:U7)&lt;COUNT(L$6:U$6),"MISSING MARK","INVALID ENTRY")))</f>
        <v>20.5</v>
      </c>
      <c r="J7" s="28">
        <v>0</v>
      </c>
      <c r="K7" s="24">
        <f t="shared" ref="K7:K10" si="2">SUM(L7:U7)</f>
        <v>20.5</v>
      </c>
      <c r="L7" s="9">
        <v>6.5</v>
      </c>
      <c r="M7" s="9">
        <v>10</v>
      </c>
      <c r="N7" s="9">
        <v>4</v>
      </c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0.85</v>
      </c>
      <c r="I8" s="20">
        <f>IF(ISOVERMAX(L8:U8),"INVALID MARK",IF(COUNT(L8:U8)=COUNT(L$6:U$6),IFERROR(H8*K$6,),IF(COUNT(L8:U8)&lt;COUNT(L$6:U$6),"MISSING MARK","INVALID ENTRY")))</f>
        <v>25.5</v>
      </c>
      <c r="J8" s="28">
        <v>0</v>
      </c>
      <c r="K8" s="24">
        <f t="shared" si="2"/>
        <v>25.5</v>
      </c>
      <c r="L8" s="9">
        <v>7.5</v>
      </c>
      <c r="M8" s="9">
        <v>13</v>
      </c>
      <c r="N8" s="9">
        <v>5</v>
      </c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0.35000000000000003</v>
      </c>
      <c r="I9" s="20">
        <f>IF(ISOVERMAX(L9:U9),"INVALID MARK",IF(COUNT(L9:U9)=COUNT(L$6:U$6),IFERROR(H9*K$6,),IF(COUNT(L9:U9)&lt;COUNT(L$6:U$6),"MISSING MARK","INVALID ENTRY")))</f>
        <v>10.500000000000002</v>
      </c>
      <c r="J9" s="28">
        <v>0.05</v>
      </c>
      <c r="K9" s="24">
        <f t="shared" si="2"/>
        <v>12</v>
      </c>
      <c r="L9" s="9">
        <v>6</v>
      </c>
      <c r="M9" s="9">
        <v>3</v>
      </c>
      <c r="N9" s="9">
        <v>3</v>
      </c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0.51666666666666661</v>
      </c>
      <c r="I10" s="20">
        <f>IF(ISOVERMAX(L10:U10),"INVALID MARK",IF(COUNT(L10:U10)=COUNT(L$6:U$6),IFERROR(H10*K$6,),IF(COUNT(L10:U10)&lt;COUNT(L$6:U$6),"MISSING MARK","INVALID ENTRY")))</f>
        <v>15.499999999999998</v>
      </c>
      <c r="J10" s="28">
        <v>0.05</v>
      </c>
      <c r="K10" s="24">
        <f t="shared" si="2"/>
        <v>17</v>
      </c>
      <c r="L10" s="9">
        <v>6</v>
      </c>
      <c r="M10" s="9">
        <v>8</v>
      </c>
      <c r="N10" s="9">
        <v>3</v>
      </c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0.54999999999999993</v>
      </c>
      <c r="I11" s="20">
        <f>IF(ISOVERMAX(L11:U11),"INVALID MARK",IF(COUNT(L11:U11)=COUNT(L$6:U$6),IFERROR(H11*K$6,),IF(COUNT(L11:U11)&lt;COUNT(L$6:U$6),"MISSING MARK","INVALID ENTRY")))</f>
        <v>16.499999999999996</v>
      </c>
      <c r="J11" s="28">
        <v>0.05</v>
      </c>
      <c r="K11" s="24">
        <f t="shared" ref="K11:K15" si="6">SUM(L11:U11)</f>
        <v>18</v>
      </c>
      <c r="L11" s="9">
        <v>3</v>
      </c>
      <c r="M11" s="9">
        <v>13</v>
      </c>
      <c r="N11" s="9">
        <v>2</v>
      </c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0.31666666666666665</v>
      </c>
      <c r="I12" s="20">
        <f>IF(ISOVERMAX(L12:U12),"INVALID MARK",IF(COUNT(L12:U12)=COUNT(L$6:U$6),IFERROR(H12*K$6,),IF(COUNT(L12:U12)&lt;COUNT(L$6:U$6),"MISSING MARK","INVALID ENTRY")))</f>
        <v>9.5</v>
      </c>
      <c r="J12" s="28">
        <v>0.05</v>
      </c>
      <c r="K12" s="24">
        <f t="shared" si="6"/>
        <v>11</v>
      </c>
      <c r="L12" s="9">
        <v>3</v>
      </c>
      <c r="M12" s="9">
        <v>7</v>
      </c>
      <c r="N12" s="9">
        <v>1</v>
      </c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0.3666666666666667</v>
      </c>
      <c r="I13" s="20" t="str">
        <f>IF(ISOVERMAX(L13:U13),"INVALID MARK",IF(COUNT(L13:U13)=COUNT(L$6:U$6),IFERROR(H13*K$6,),IF(COUNT(L13:U13)&lt;COUNT(L$6:U$6),"MISSING MARK","INVALID ENTRY")))</f>
        <v>INVALID MARK</v>
      </c>
      <c r="J13" s="28">
        <v>0.05</v>
      </c>
      <c r="K13" s="24">
        <f t="shared" si="6"/>
        <v>12.5</v>
      </c>
      <c r="L13" s="9">
        <v>6.5</v>
      </c>
      <c r="M13" s="9"/>
      <c r="N13" s="9">
        <v>3</v>
      </c>
      <c r="O13" s="9"/>
      <c r="P13" s="9">
        <v>3</v>
      </c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0.56666666666666665</v>
      </c>
      <c r="I14" s="20">
        <f>IF(ISOVERMAX(L14:U14),"INVALID MARK",IF(COUNT(L14:U14)=COUNT(L$6:U$6),IFERROR(H14*K$6,),IF(COUNT(L14:U14)&lt;COUNT(L$6:U$6),"MISSING MARK","INVALID ENTRY")))</f>
        <v>17</v>
      </c>
      <c r="J14" s="28">
        <v>0.05</v>
      </c>
      <c r="K14" s="24">
        <f t="shared" si="6"/>
        <v>18.5</v>
      </c>
      <c r="L14" s="9">
        <v>8</v>
      </c>
      <c r="M14" s="9">
        <v>7.5</v>
      </c>
      <c r="N14" s="9">
        <v>3</v>
      </c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0.41666666666666669</v>
      </c>
      <c r="I15" s="20">
        <f>IF(ISOVERMAX(L15:U15),"INVALID MARK",IF(COUNT(L15:U15)=COUNT(L$6:U$6),IFERROR(H15*K$6,),IF(COUNT(L15:U15)&lt;COUNT(L$6:U$6),"MISSING MARK","INVALID ENTRY")))</f>
        <v>12.5</v>
      </c>
      <c r="J15" s="28">
        <v>0.05</v>
      </c>
      <c r="K15" s="24">
        <f t="shared" si="6"/>
        <v>14</v>
      </c>
      <c r="L15" s="9">
        <v>9</v>
      </c>
      <c r="M15" s="9">
        <v>5</v>
      </c>
      <c r="N15" s="9">
        <v>0</v>
      </c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0.64999999999999991</v>
      </c>
      <c r="I16" s="20">
        <f>IF(ISOVERMAX(L16:U16),"INVALID MARK",IF(COUNT(L16:U16)=COUNT(L$6:U$6),IFERROR(H16*K$6,),IF(COUNT(L16:U16)&lt;COUNT(L$6:U$6),"MISSING MARK","INVALID ENTRY")))</f>
        <v>19.499999999999996</v>
      </c>
      <c r="J16" s="28">
        <v>0.05</v>
      </c>
      <c r="K16" s="24">
        <f t="shared" ref="K16" si="9">SUM(L16:U16)</f>
        <v>21</v>
      </c>
      <c r="L16" s="9">
        <v>8</v>
      </c>
      <c r="M16" s="9">
        <v>10</v>
      </c>
      <c r="N16" s="9">
        <v>3</v>
      </c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5"/>
      <c r="E17" s="5"/>
      <c r="F17" s="5"/>
      <c r="G17" s="5"/>
      <c r="H17" s="4"/>
      <c r="I17" s="19"/>
      <c r="J17" s="8"/>
      <c r="K17" s="17"/>
      <c r="L17" s="9"/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  <row r="311" spans="1:53" x14ac:dyDescent="0.25">
      <c r="A311" s="5"/>
      <c r="B311" s="5"/>
      <c r="C311" s="5"/>
      <c r="D311" s="5"/>
      <c r="E311" s="5"/>
      <c r="F311" s="5"/>
      <c r="G311" s="5"/>
      <c r="H311" s="4"/>
      <c r="I311" s="19"/>
      <c r="J311" s="8"/>
      <c r="K311" s="17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</row>
    <row r="312" spans="1:53" x14ac:dyDescent="0.25">
      <c r="A312" s="5"/>
      <c r="B312" s="5"/>
      <c r="C312" s="5"/>
      <c r="D312" s="5"/>
      <c r="E312" s="5"/>
      <c r="F312" s="5"/>
      <c r="G312" s="5"/>
      <c r="H312" s="4"/>
      <c r="I312" s="19"/>
      <c r="J312" s="8"/>
      <c r="K312" s="17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</row>
    <row r="313" spans="1:53" x14ac:dyDescent="0.25">
      <c r="A313" s="5"/>
      <c r="B313" s="5"/>
      <c r="C313" s="5"/>
      <c r="D313" s="5"/>
      <c r="E313" s="5"/>
      <c r="F313" s="5"/>
      <c r="G313" s="5"/>
      <c r="H313" s="4"/>
      <c r="I313" s="19"/>
      <c r="J313" s="8"/>
      <c r="K313" s="17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</row>
    <row r="314" spans="1:53" x14ac:dyDescent="0.25">
      <c r="A314" s="5"/>
      <c r="B314" s="5"/>
      <c r="C314" s="5"/>
      <c r="D314" s="5"/>
      <c r="E314" s="5"/>
      <c r="F314" s="5"/>
      <c r="G314" s="5"/>
      <c r="H314" s="4"/>
      <c r="I314" s="19"/>
      <c r="J314" s="8"/>
      <c r="K314" s="17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</row>
    <row r="315" spans="1:53" x14ac:dyDescent="0.25">
      <c r="A315" s="5"/>
      <c r="B315" s="5"/>
      <c r="C315" s="5"/>
      <c r="D315" s="5"/>
      <c r="E315" s="5"/>
      <c r="F315" s="5"/>
      <c r="G315" s="5"/>
      <c r="H315" s="4"/>
      <c r="I315" s="19"/>
      <c r="J315" s="8"/>
      <c r="K315" s="17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</row>
    <row r="316" spans="1:53" x14ac:dyDescent="0.25">
      <c r="A316" s="5"/>
      <c r="B316" s="5"/>
      <c r="C316" s="5"/>
      <c r="D316" s="5"/>
      <c r="E316" s="5"/>
      <c r="F316" s="5"/>
      <c r="G316" s="5"/>
      <c r="H316" s="4"/>
      <c r="I316" s="19"/>
      <c r="J316" s="8"/>
      <c r="K316" s="17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</row>
    <row r="317" spans="1:53" x14ac:dyDescent="0.25">
      <c r="A317" s="5"/>
      <c r="B317" s="5"/>
      <c r="C317" s="5"/>
      <c r="D317" s="5"/>
      <c r="E317" s="5"/>
      <c r="F317" s="5"/>
      <c r="G317" s="5"/>
      <c r="H317" s="4"/>
      <c r="I317" s="19"/>
      <c r="J317" s="8"/>
      <c r="K317" s="17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</row>
    <row r="318" spans="1:53" x14ac:dyDescent="0.25">
      <c r="A318" s="5"/>
      <c r="B318" s="5"/>
      <c r="C318" s="5"/>
      <c r="D318" s="5"/>
      <c r="E318" s="5"/>
      <c r="F318" s="5"/>
      <c r="G318" s="5"/>
      <c r="H318" s="4"/>
      <c r="I318" s="19"/>
      <c r="J318" s="8"/>
      <c r="K318" s="17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</row>
    <row r="319" spans="1:53" x14ac:dyDescent="0.25">
      <c r="A319" s="5"/>
      <c r="B319" s="5"/>
      <c r="C319" s="5"/>
      <c r="D319" s="5"/>
      <c r="E319" s="5"/>
      <c r="F319" s="5"/>
      <c r="G319" s="5"/>
      <c r="H319" s="4"/>
      <c r="I319" s="19"/>
      <c r="J319" s="8"/>
      <c r="K319" s="17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</row>
    <row r="320" spans="1:53" x14ac:dyDescent="0.25">
      <c r="A320" s="5"/>
      <c r="B320" s="5"/>
      <c r="C320" s="5"/>
      <c r="D320" s="5"/>
      <c r="E320" s="5"/>
      <c r="F320" s="5"/>
      <c r="G320" s="5"/>
      <c r="H320" s="4"/>
      <c r="I320" s="19"/>
      <c r="J320" s="8"/>
      <c r="K320" s="17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</row>
    <row r="321" spans="1:53" x14ac:dyDescent="0.25">
      <c r="A321" s="5"/>
      <c r="B321" s="5"/>
      <c r="C321" s="5"/>
      <c r="D321" s="5"/>
      <c r="E321" s="5"/>
      <c r="F321" s="5"/>
      <c r="G321" s="5"/>
      <c r="H321" s="4"/>
      <c r="I321" s="19"/>
      <c r="J321" s="8"/>
      <c r="K321" s="17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</row>
    <row r="322" spans="1:53" x14ac:dyDescent="0.25">
      <c r="A322" s="5"/>
      <c r="B322" s="5"/>
      <c r="C322" s="5"/>
      <c r="D322" s="5"/>
      <c r="E322" s="5"/>
      <c r="F322" s="5"/>
      <c r="G322" s="5"/>
      <c r="H322" s="4"/>
      <c r="I322" s="19"/>
      <c r="J322" s="8"/>
      <c r="K322" s="17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</row>
    <row r="323" spans="1:53" x14ac:dyDescent="0.25">
      <c r="A323" s="5"/>
      <c r="B323" s="5"/>
      <c r="C323" s="5"/>
      <c r="D323" s="5"/>
      <c r="E323" s="5"/>
      <c r="F323" s="5"/>
      <c r="G323" s="5"/>
      <c r="H323" s="4"/>
      <c r="I323" s="19"/>
      <c r="J323" s="8"/>
      <c r="K323" s="17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</row>
    <row r="324" spans="1:53" x14ac:dyDescent="0.25">
      <c r="A324" s="5"/>
      <c r="B324" s="5"/>
      <c r="C324" s="5"/>
      <c r="D324" s="5"/>
      <c r="E324" s="5"/>
      <c r="F324" s="5"/>
      <c r="G324" s="5"/>
      <c r="H324" s="4"/>
      <c r="I324" s="19"/>
      <c r="J324" s="8"/>
      <c r="K324" s="17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</row>
    <row r="325" spans="1:53" x14ac:dyDescent="0.25">
      <c r="A325" s="5"/>
      <c r="B325" s="5"/>
      <c r="C325" s="5"/>
      <c r="D325" s="5"/>
      <c r="E325" s="5"/>
      <c r="F325" s="5"/>
      <c r="G325" s="5"/>
      <c r="H325" s="4"/>
      <c r="I325" s="19"/>
      <c r="J325" s="8"/>
      <c r="K325" s="17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</row>
    <row r="326" spans="1:53" x14ac:dyDescent="0.25">
      <c r="A326" s="5"/>
      <c r="B326" s="5"/>
      <c r="C326" s="5"/>
      <c r="D326" s="5"/>
      <c r="E326" s="5"/>
      <c r="F326" s="5"/>
      <c r="G326" s="5"/>
      <c r="H326" s="4"/>
      <c r="I326" s="19"/>
      <c r="J326" s="8"/>
      <c r="K326" s="17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</row>
    <row r="327" spans="1:53" x14ac:dyDescent="0.25">
      <c r="A327" s="5"/>
      <c r="B327" s="5"/>
      <c r="C327" s="5"/>
      <c r="D327" s="5"/>
      <c r="E327" s="5"/>
      <c r="F327" s="5"/>
      <c r="G327" s="5"/>
      <c r="H327" s="4"/>
      <c r="I327" s="19"/>
      <c r="J327" s="8"/>
      <c r="K327" s="17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</row>
    <row r="328" spans="1:53" x14ac:dyDescent="0.25">
      <c r="A328" s="5"/>
      <c r="B328" s="5"/>
      <c r="C328" s="5"/>
      <c r="D328" s="5"/>
      <c r="E328" s="5"/>
      <c r="F328" s="5"/>
      <c r="G328" s="5"/>
      <c r="H328" s="4"/>
      <c r="I328" s="19"/>
      <c r="J328" s="8"/>
      <c r="K328" s="17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</row>
    <row r="329" spans="1:53" x14ac:dyDescent="0.25">
      <c r="A329" s="5"/>
      <c r="B329" s="5"/>
      <c r="C329" s="5"/>
      <c r="D329" s="5"/>
      <c r="E329" s="5"/>
      <c r="F329" s="5"/>
      <c r="G329" s="5"/>
      <c r="H329" s="4"/>
      <c r="I329" s="19"/>
      <c r="J329" s="8"/>
      <c r="K329" s="17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</row>
    <row r="330" spans="1:53" x14ac:dyDescent="0.25">
      <c r="A330" s="5"/>
      <c r="B330" s="5"/>
      <c r="C330" s="5"/>
      <c r="D330" s="5"/>
      <c r="E330" s="5"/>
      <c r="F330" s="5"/>
      <c r="G330" s="5"/>
      <c r="H330" s="4"/>
      <c r="I330" s="19"/>
      <c r="J330" s="8"/>
      <c r="K330" s="17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</row>
    <row r="331" spans="1:53" x14ac:dyDescent="0.25">
      <c r="A331" s="5"/>
      <c r="B331" s="5"/>
      <c r="C331" s="5"/>
      <c r="D331" s="5"/>
      <c r="E331" s="5"/>
      <c r="F331" s="5"/>
      <c r="G331" s="5"/>
      <c r="H331" s="4"/>
      <c r="I331" s="19"/>
      <c r="J331" s="8"/>
      <c r="K331" s="17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</row>
    <row r="332" spans="1:53" x14ac:dyDescent="0.25">
      <c r="A332" s="5"/>
      <c r="B332" s="5"/>
      <c r="C332" s="5"/>
      <c r="D332" s="5"/>
      <c r="E332" s="5"/>
      <c r="F332" s="5"/>
      <c r="G332" s="5"/>
      <c r="H332" s="4"/>
      <c r="I332" s="19"/>
      <c r="J332" s="8"/>
      <c r="K332" s="17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</row>
    <row r="333" spans="1:53" x14ac:dyDescent="0.25">
      <c r="A333" s="5"/>
      <c r="B333" s="5"/>
      <c r="C333" s="5"/>
      <c r="D333" s="5"/>
      <c r="E333" s="5"/>
      <c r="F333" s="5"/>
      <c r="G333" s="5"/>
      <c r="H333" s="4"/>
      <c r="I333" s="19"/>
      <c r="J333" s="8"/>
      <c r="K333" s="17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</row>
    <row r="334" spans="1:53" x14ac:dyDescent="0.25">
      <c r="A334" s="5"/>
      <c r="B334" s="5"/>
      <c r="C334" s="5"/>
      <c r="D334" s="5"/>
      <c r="E334" s="5"/>
      <c r="F334" s="5"/>
      <c r="G334" s="5"/>
      <c r="H334" s="4"/>
      <c r="I334" s="19"/>
      <c r="J334" s="8"/>
      <c r="K334" s="17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</row>
    <row r="335" spans="1:53" x14ac:dyDescent="0.25">
      <c r="A335" s="5"/>
      <c r="B335" s="5"/>
      <c r="C335" s="5"/>
      <c r="D335" s="5"/>
      <c r="E335" s="5"/>
      <c r="F335" s="5"/>
      <c r="G335" s="5"/>
      <c r="H335" s="4"/>
      <c r="I335" s="19"/>
      <c r="J335" s="8"/>
      <c r="K335" s="17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</row>
    <row r="336" spans="1:53" x14ac:dyDescent="0.25">
      <c r="A336" s="5"/>
      <c r="B336" s="5"/>
      <c r="C336" s="5"/>
      <c r="D336" s="5"/>
      <c r="E336" s="5"/>
      <c r="F336" s="5"/>
      <c r="G336" s="5"/>
      <c r="H336" s="4"/>
      <c r="I336" s="19"/>
      <c r="J336" s="8"/>
      <c r="K336" s="17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</row>
    <row r="337" spans="1:53" x14ac:dyDescent="0.25">
      <c r="A337" s="5"/>
      <c r="B337" s="5"/>
      <c r="C337" s="5"/>
      <c r="D337" s="5"/>
      <c r="E337" s="5"/>
      <c r="F337" s="5"/>
      <c r="G337" s="5"/>
      <c r="H337" s="4"/>
      <c r="I337" s="19"/>
      <c r="J337" s="8"/>
      <c r="K337" s="17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</row>
    <row r="338" spans="1:53" x14ac:dyDescent="0.25">
      <c r="A338" s="5"/>
      <c r="B338" s="5"/>
      <c r="C338" s="5"/>
      <c r="D338" s="5"/>
      <c r="E338" s="5"/>
      <c r="F338" s="5"/>
      <c r="G338" s="5"/>
      <c r="H338" s="4"/>
      <c r="I338" s="19"/>
      <c r="J338" s="8"/>
      <c r="K338" s="17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</row>
    <row r="339" spans="1:53" x14ac:dyDescent="0.25">
      <c r="A339" s="5"/>
      <c r="B339" s="5"/>
      <c r="C339" s="5"/>
      <c r="D339" s="5"/>
      <c r="E339" s="5"/>
      <c r="F339" s="5"/>
      <c r="G339" s="5"/>
      <c r="H339" s="4"/>
      <c r="I339" s="19"/>
      <c r="J339" s="8"/>
      <c r="K339" s="17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</row>
    <row r="340" spans="1:53" x14ac:dyDescent="0.25">
      <c r="A340" s="5"/>
      <c r="B340" s="5"/>
      <c r="C340" s="5"/>
      <c r="D340" s="5"/>
      <c r="E340" s="5"/>
      <c r="F340" s="5"/>
      <c r="G340" s="5"/>
      <c r="H340" s="4"/>
      <c r="I340" s="19"/>
      <c r="J340" s="8"/>
      <c r="K340" s="17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</row>
    <row r="341" spans="1:53" x14ac:dyDescent="0.25">
      <c r="A341" s="5"/>
      <c r="B341" s="5"/>
      <c r="C341" s="5"/>
      <c r="D341" s="5"/>
      <c r="E341" s="5"/>
      <c r="F341" s="5"/>
      <c r="G341" s="5"/>
      <c r="H341" s="4"/>
      <c r="I341" s="19"/>
      <c r="J341" s="8"/>
      <c r="K341" s="17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</row>
    <row r="342" spans="1:53" x14ac:dyDescent="0.25">
      <c r="A342" s="5"/>
      <c r="B342" s="5"/>
      <c r="C342" s="5"/>
      <c r="D342" s="5"/>
      <c r="E342" s="5"/>
      <c r="F342" s="5"/>
      <c r="G342" s="5"/>
      <c r="H342" s="4"/>
      <c r="I342" s="19"/>
      <c r="J342" s="8"/>
      <c r="K342" s="17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</row>
    <row r="343" spans="1:53" x14ac:dyDescent="0.25">
      <c r="A343" s="5"/>
      <c r="B343" s="5"/>
      <c r="C343" s="5"/>
      <c r="D343" s="5"/>
      <c r="E343" s="5"/>
      <c r="F343" s="5"/>
      <c r="G343" s="5"/>
      <c r="H343" s="4"/>
      <c r="I343" s="19"/>
      <c r="J343" s="8"/>
      <c r="K343" s="17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</row>
    <row r="344" spans="1:53" x14ac:dyDescent="0.25">
      <c r="A344" s="5"/>
      <c r="B344" s="5"/>
      <c r="C344" s="5"/>
      <c r="D344" s="5"/>
      <c r="E344" s="5"/>
      <c r="F344" s="5"/>
      <c r="G344" s="5"/>
      <c r="H344" s="4"/>
      <c r="I344" s="19"/>
      <c r="J344" s="8"/>
      <c r="K344" s="17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</row>
    <row r="345" spans="1:53" x14ac:dyDescent="0.25">
      <c r="A345" s="5"/>
      <c r="B345" s="5"/>
      <c r="C345" s="5"/>
      <c r="D345" s="5"/>
      <c r="E345" s="5"/>
      <c r="F345" s="5"/>
      <c r="G345" s="5"/>
      <c r="H345" s="4"/>
      <c r="I345" s="19"/>
      <c r="J345" s="8"/>
      <c r="K345" s="17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</row>
    <row r="346" spans="1:53" x14ac:dyDescent="0.25">
      <c r="A346" s="5"/>
      <c r="B346" s="5"/>
      <c r="C346" s="5"/>
      <c r="D346" s="5"/>
      <c r="E346" s="5"/>
      <c r="F346" s="5"/>
      <c r="G346" s="5"/>
      <c r="H346" s="4"/>
      <c r="I346" s="19"/>
      <c r="J346" s="8"/>
      <c r="K346" s="17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</row>
    <row r="347" spans="1:53" x14ac:dyDescent="0.25">
      <c r="A347" s="5"/>
      <c r="B347" s="5"/>
      <c r="C347" s="5"/>
      <c r="D347" s="5"/>
      <c r="E347" s="5"/>
      <c r="F347" s="5"/>
      <c r="G347" s="5"/>
      <c r="H347" s="4"/>
      <c r="I347" s="19"/>
      <c r="J347" s="8"/>
      <c r="K347" s="17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</row>
    <row r="348" spans="1:53" x14ac:dyDescent="0.25">
      <c r="A348" s="5"/>
      <c r="B348" s="5"/>
      <c r="C348" s="5"/>
      <c r="D348" s="5"/>
      <c r="E348" s="5"/>
      <c r="F348" s="5"/>
      <c r="G348" s="5"/>
      <c r="H348" s="4"/>
      <c r="I348" s="19"/>
      <c r="J348" s="8"/>
      <c r="K348" s="17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</row>
    <row r="349" spans="1:53" x14ac:dyDescent="0.25">
      <c r="A349" s="5"/>
      <c r="B349" s="5"/>
      <c r="C349" s="5"/>
      <c r="D349" s="5"/>
      <c r="E349" s="5"/>
      <c r="F349" s="5"/>
      <c r="G349" s="5"/>
      <c r="H349" s="4"/>
      <c r="I349" s="19"/>
      <c r="J349" s="8"/>
      <c r="K349" s="17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</row>
    <row r="350" spans="1:53" x14ac:dyDescent="0.25">
      <c r="A350" s="5"/>
      <c r="B350" s="5"/>
      <c r="C350" s="5"/>
      <c r="D350" s="5"/>
      <c r="E350" s="5"/>
      <c r="F350" s="5"/>
      <c r="G350" s="5"/>
      <c r="H350" s="4"/>
      <c r="I350" s="19"/>
      <c r="J350" s="8"/>
      <c r="K350" s="17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</row>
    <row r="351" spans="1:53" x14ac:dyDescent="0.25">
      <c r="A351" s="5"/>
      <c r="B351" s="5"/>
      <c r="C351" s="5"/>
      <c r="D351" s="5"/>
      <c r="E351" s="5"/>
      <c r="F351" s="5"/>
      <c r="G351" s="5"/>
      <c r="H351" s="4"/>
      <c r="I351" s="19"/>
      <c r="J351" s="8"/>
      <c r="K351" s="17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</row>
    <row r="352" spans="1:53" x14ac:dyDescent="0.25">
      <c r="A352" s="5"/>
      <c r="B352" s="5"/>
      <c r="C352" s="5"/>
      <c r="D352" s="5"/>
      <c r="E352" s="5"/>
      <c r="F352" s="5"/>
      <c r="G352" s="5"/>
      <c r="H352" s="4"/>
      <c r="I352" s="19"/>
      <c r="J352" s="8"/>
      <c r="K352" s="17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</row>
    <row r="353" spans="1:53" x14ac:dyDescent="0.25">
      <c r="A353" s="5"/>
      <c r="B353" s="5"/>
      <c r="C353" s="5"/>
      <c r="D353" s="5"/>
      <c r="E353" s="5"/>
      <c r="F353" s="5"/>
      <c r="G353" s="5"/>
      <c r="H353" s="4"/>
      <c r="I353" s="19"/>
      <c r="J353" s="8"/>
      <c r="K353" s="17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</row>
    <row r="354" spans="1:53" x14ac:dyDescent="0.25">
      <c r="A354" s="5"/>
      <c r="B354" s="5"/>
      <c r="C354" s="5"/>
      <c r="D354" s="5"/>
      <c r="E354" s="5"/>
      <c r="F354" s="5"/>
      <c r="G354" s="5"/>
      <c r="H354" s="4"/>
      <c r="I354" s="19"/>
      <c r="J354" s="8"/>
      <c r="K354" s="17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</row>
    <row r="355" spans="1:53" x14ac:dyDescent="0.25">
      <c r="A355" s="5"/>
      <c r="B355" s="5"/>
      <c r="C355" s="5"/>
      <c r="D355" s="5"/>
      <c r="E355" s="5"/>
      <c r="F355" s="5"/>
      <c r="G355" s="5"/>
      <c r="H355" s="4"/>
      <c r="I355" s="19"/>
      <c r="J355" s="8"/>
      <c r="K355" s="17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</row>
    <row r="356" spans="1:53" x14ac:dyDescent="0.25">
      <c r="A356" s="5"/>
      <c r="B356" s="5"/>
      <c r="C356" s="5"/>
      <c r="D356" s="5"/>
      <c r="E356" s="5"/>
      <c r="F356" s="5"/>
      <c r="G356" s="5"/>
      <c r="H356" s="4"/>
      <c r="I356" s="19"/>
      <c r="J356" s="8"/>
      <c r="K356" s="17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</row>
    <row r="357" spans="1:53" x14ac:dyDescent="0.25">
      <c r="A357" s="5"/>
      <c r="B357" s="5"/>
      <c r="C357" s="5"/>
      <c r="D357" s="5"/>
      <c r="E357" s="5"/>
      <c r="F357" s="5"/>
      <c r="G357" s="5"/>
      <c r="H357" s="4"/>
      <c r="I357" s="19"/>
      <c r="J357" s="8"/>
      <c r="K357" s="17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</row>
    <row r="358" spans="1:53" x14ac:dyDescent="0.25">
      <c r="A358" s="5"/>
      <c r="B358" s="5"/>
      <c r="C358" s="5"/>
      <c r="D358" s="5"/>
      <c r="E358" s="5"/>
      <c r="F358" s="5"/>
      <c r="G358" s="5"/>
      <c r="H358" s="4"/>
      <c r="I358" s="19"/>
      <c r="J358" s="8"/>
      <c r="K358" s="17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</row>
    <row r="359" spans="1:53" x14ac:dyDescent="0.25">
      <c r="A359" s="5"/>
      <c r="B359" s="5"/>
      <c r="C359" s="5"/>
      <c r="D359" s="5"/>
      <c r="E359" s="5"/>
      <c r="F359" s="5"/>
      <c r="G359" s="5"/>
      <c r="H359" s="4"/>
      <c r="I359" s="19"/>
      <c r="J359" s="8"/>
      <c r="K359" s="17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</row>
    <row r="360" spans="1:53" x14ac:dyDescent="0.25">
      <c r="A360" s="5"/>
      <c r="B360" s="5"/>
      <c r="C360" s="5"/>
      <c r="D360" s="5"/>
      <c r="E360" s="5"/>
      <c r="F360" s="5"/>
      <c r="G360" s="5"/>
      <c r="H360" s="4"/>
      <c r="I360" s="19"/>
      <c r="J360" s="8"/>
      <c r="K360" s="17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</row>
    <row r="361" spans="1:53" x14ac:dyDescent="0.25">
      <c r="A361" s="5"/>
      <c r="B361" s="5"/>
      <c r="C361" s="5"/>
      <c r="D361" s="5"/>
      <c r="E361" s="5"/>
      <c r="F361" s="5"/>
      <c r="G361" s="5"/>
      <c r="H361" s="4"/>
      <c r="I361" s="19"/>
      <c r="J361" s="8"/>
      <c r="K361" s="17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</row>
    <row r="362" spans="1:53" x14ac:dyDescent="0.25">
      <c r="A362" s="5"/>
      <c r="B362" s="5"/>
      <c r="C362" s="5"/>
      <c r="D362" s="5"/>
      <c r="E362" s="5"/>
      <c r="F362" s="5"/>
      <c r="G362" s="5"/>
      <c r="H362" s="4"/>
      <c r="I362" s="19"/>
      <c r="J362" s="8"/>
      <c r="K362" s="17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</row>
    <row r="363" spans="1:53" x14ac:dyDescent="0.25">
      <c r="A363" s="5"/>
      <c r="B363" s="5"/>
      <c r="C363" s="5"/>
      <c r="D363" s="5"/>
      <c r="E363" s="5"/>
      <c r="F363" s="5"/>
      <c r="G363" s="5"/>
      <c r="H363" s="4"/>
      <c r="I363" s="19"/>
      <c r="J363" s="8"/>
      <c r="K363" s="17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</row>
    <row r="364" spans="1:53" x14ac:dyDescent="0.25">
      <c r="A364" s="5"/>
      <c r="B364" s="5"/>
      <c r="C364" s="5"/>
      <c r="D364" s="5"/>
      <c r="E364" s="5"/>
      <c r="F364" s="5"/>
      <c r="G364" s="5"/>
      <c r="H364" s="4"/>
      <c r="I364" s="19"/>
      <c r="J364" s="8"/>
      <c r="K364" s="17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</row>
    <row r="365" spans="1:53" x14ac:dyDescent="0.25">
      <c r="A365" s="5"/>
      <c r="B365" s="5"/>
      <c r="C365" s="5"/>
      <c r="D365" s="5"/>
      <c r="E365" s="5"/>
      <c r="F365" s="5"/>
      <c r="G365" s="5"/>
      <c r="H365" s="4"/>
      <c r="I365" s="19"/>
      <c r="J365" s="8"/>
      <c r="K365" s="17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</row>
    <row r="366" spans="1:53" x14ac:dyDescent="0.25">
      <c r="A366" s="5"/>
      <c r="B366" s="5"/>
      <c r="C366" s="5"/>
      <c r="D366" s="5"/>
      <c r="E366" s="5"/>
      <c r="F366" s="5"/>
      <c r="G366" s="5"/>
      <c r="H366" s="4"/>
      <c r="I366" s="19"/>
      <c r="J366" s="8"/>
      <c r="K366" s="17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</row>
    <row r="367" spans="1:53" x14ac:dyDescent="0.25">
      <c r="A367" s="5"/>
      <c r="B367" s="5"/>
      <c r="C367" s="5"/>
      <c r="D367" s="5"/>
      <c r="E367" s="5"/>
      <c r="F367" s="5"/>
      <c r="G367" s="5"/>
      <c r="H367" s="4"/>
      <c r="I367" s="19"/>
      <c r="J367" s="8"/>
      <c r="K367" s="17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</row>
    <row r="368" spans="1:53" x14ac:dyDescent="0.25">
      <c r="A368" s="5"/>
      <c r="B368" s="5"/>
      <c r="C368" s="5"/>
      <c r="D368" s="5"/>
      <c r="E368" s="5"/>
      <c r="F368" s="5"/>
      <c r="G368" s="5"/>
      <c r="H368" s="4"/>
      <c r="I368" s="19"/>
      <c r="J368" s="8"/>
      <c r="K368" s="17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</row>
    <row r="369" spans="1:53" x14ac:dyDescent="0.25">
      <c r="A369" s="5"/>
      <c r="B369" s="5"/>
      <c r="C369" s="5"/>
      <c r="D369" s="5"/>
      <c r="E369" s="5"/>
      <c r="F369" s="5"/>
      <c r="G369" s="5"/>
      <c r="H369" s="4"/>
      <c r="I369" s="19"/>
      <c r="J369" s="8"/>
      <c r="K369" s="17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</row>
    <row r="370" spans="1:53" x14ac:dyDescent="0.25">
      <c r="A370" s="5"/>
      <c r="B370" s="5"/>
      <c r="C370" s="5"/>
      <c r="D370" s="5"/>
      <c r="E370" s="5"/>
      <c r="F370" s="5"/>
      <c r="G370" s="5"/>
      <c r="H370" s="4"/>
      <c r="I370" s="19"/>
      <c r="J370" s="8"/>
      <c r="K370" s="17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</row>
    <row r="371" spans="1:53" x14ac:dyDescent="0.25">
      <c r="A371" s="5"/>
      <c r="B371" s="5"/>
      <c r="C371" s="5"/>
      <c r="D371" s="5"/>
      <c r="E371" s="5"/>
      <c r="F371" s="5"/>
      <c r="G371" s="5"/>
      <c r="H371" s="4"/>
      <c r="I371" s="19"/>
      <c r="J371" s="8"/>
      <c r="K371" s="17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</row>
    <row r="372" spans="1:53" x14ac:dyDescent="0.25">
      <c r="A372" s="5"/>
      <c r="B372" s="5"/>
      <c r="C372" s="5"/>
      <c r="D372" s="5"/>
      <c r="E372" s="5"/>
      <c r="F372" s="5"/>
      <c r="G372" s="5"/>
      <c r="H372" s="4"/>
      <c r="I372" s="19"/>
      <c r="J372" s="8"/>
      <c r="K372" s="17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</row>
    <row r="373" spans="1:53" x14ac:dyDescent="0.25">
      <c r="A373" s="5"/>
      <c r="B373" s="5"/>
      <c r="C373" s="5"/>
      <c r="D373" s="5"/>
      <c r="E373" s="5"/>
      <c r="F373" s="5"/>
      <c r="G373" s="5"/>
      <c r="H373" s="4"/>
      <c r="I373" s="19"/>
      <c r="J373" s="8"/>
      <c r="K373" s="17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</row>
    <row r="374" spans="1:53" x14ac:dyDescent="0.25">
      <c r="A374" s="5"/>
      <c r="B374" s="5"/>
      <c r="C374" s="5"/>
      <c r="D374" s="5"/>
      <c r="E374" s="5"/>
      <c r="F374" s="5"/>
      <c r="G374" s="5"/>
      <c r="H374" s="4"/>
      <c r="I374" s="19"/>
      <c r="J374" s="8"/>
      <c r="K374" s="17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</row>
    <row r="375" spans="1:53" x14ac:dyDescent="0.25">
      <c r="A375" s="5"/>
      <c r="B375" s="5"/>
      <c r="C375" s="5"/>
      <c r="D375" s="5"/>
      <c r="E375" s="5"/>
      <c r="F375" s="5"/>
      <c r="G375" s="5"/>
      <c r="H375" s="4"/>
      <c r="I375" s="19"/>
      <c r="J375" s="8"/>
      <c r="K375" s="17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</row>
    <row r="376" spans="1:53" x14ac:dyDescent="0.25">
      <c r="A376" s="5"/>
      <c r="B376" s="5"/>
      <c r="C376" s="5"/>
      <c r="D376" s="5"/>
      <c r="E376" s="5"/>
      <c r="F376" s="5"/>
      <c r="G376" s="5"/>
      <c r="H376" s="4"/>
      <c r="I376" s="19"/>
      <c r="J376" s="8"/>
      <c r="K376" s="17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</row>
    <row r="377" spans="1:53" x14ac:dyDescent="0.25">
      <c r="A377" s="5"/>
      <c r="B377" s="5"/>
      <c r="C377" s="5"/>
      <c r="D377" s="5"/>
      <c r="E377" s="5"/>
      <c r="F377" s="5"/>
      <c r="G377" s="5"/>
      <c r="H377" s="4"/>
      <c r="I377" s="19"/>
      <c r="J377" s="8"/>
      <c r="K377" s="17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</row>
    <row r="378" spans="1:53" x14ac:dyDescent="0.25">
      <c r="A378" s="5"/>
      <c r="B378" s="5"/>
      <c r="C378" s="5"/>
      <c r="D378" s="5"/>
      <c r="E378" s="5"/>
      <c r="F378" s="5"/>
      <c r="G378" s="5"/>
      <c r="H378" s="4"/>
      <c r="I378" s="19"/>
      <c r="J378" s="8"/>
      <c r="K378" s="17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</row>
    <row r="379" spans="1:53" x14ac:dyDescent="0.25">
      <c r="A379" s="5"/>
      <c r="B379" s="5"/>
      <c r="C379" s="5"/>
      <c r="D379" s="5"/>
      <c r="E379" s="5"/>
      <c r="F379" s="5"/>
      <c r="G379" s="5"/>
      <c r="H379" s="4"/>
      <c r="I379" s="19"/>
      <c r="J379" s="8"/>
      <c r="K379" s="17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</row>
    <row r="380" spans="1:53" x14ac:dyDescent="0.25">
      <c r="A380" s="5"/>
      <c r="B380" s="5"/>
      <c r="C380" s="5"/>
      <c r="D380" s="5"/>
      <c r="E380" s="5"/>
      <c r="F380" s="5"/>
      <c r="G380" s="5"/>
      <c r="H380" s="4"/>
      <c r="I380" s="19"/>
      <c r="J380" s="8"/>
      <c r="K380" s="17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</row>
    <row r="381" spans="1:53" x14ac:dyDescent="0.25">
      <c r="A381" s="5"/>
      <c r="B381" s="5"/>
      <c r="C381" s="5"/>
      <c r="D381" s="5"/>
      <c r="E381" s="5"/>
      <c r="F381" s="5"/>
      <c r="G381" s="5"/>
      <c r="H381" s="4"/>
      <c r="I381" s="19"/>
      <c r="J381" s="8"/>
      <c r="K381" s="17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</row>
    <row r="382" spans="1:53" x14ac:dyDescent="0.25">
      <c r="A382" s="5"/>
      <c r="B382" s="5"/>
      <c r="C382" s="5"/>
      <c r="D382" s="5"/>
      <c r="E382" s="5"/>
      <c r="F382" s="5"/>
      <c r="G382" s="5"/>
      <c r="H382" s="4"/>
      <c r="I382" s="19"/>
      <c r="J382" s="8"/>
      <c r="K382" s="17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</row>
    <row r="383" spans="1:53" x14ac:dyDescent="0.25">
      <c r="A383" s="5"/>
      <c r="B383" s="5"/>
      <c r="C383" s="5"/>
      <c r="D383" s="5"/>
      <c r="E383" s="5"/>
      <c r="F383" s="5"/>
      <c r="G383" s="5"/>
      <c r="H383" s="4"/>
      <c r="I383" s="19"/>
      <c r="J383" s="8"/>
      <c r="K383" s="17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</row>
    <row r="384" spans="1:53" x14ac:dyDescent="0.25">
      <c r="A384" s="5"/>
      <c r="B384" s="5"/>
      <c r="C384" s="5"/>
      <c r="D384" s="5"/>
      <c r="E384" s="5"/>
      <c r="F384" s="5"/>
      <c r="G384" s="5"/>
      <c r="H384" s="4"/>
      <c r="I384" s="19"/>
      <c r="J384" s="8"/>
      <c r="K384" s="17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</row>
    <row r="385" spans="1:53" x14ac:dyDescent="0.25">
      <c r="A385" s="5"/>
      <c r="B385" s="5"/>
      <c r="C385" s="5"/>
      <c r="D385" s="5"/>
      <c r="E385" s="5"/>
      <c r="F385" s="5"/>
      <c r="G385" s="5"/>
      <c r="H385" s="4"/>
      <c r="I385" s="19"/>
      <c r="J385" s="8"/>
      <c r="K385" s="17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</row>
    <row r="386" spans="1:53" x14ac:dyDescent="0.25">
      <c r="A386" s="5"/>
      <c r="B386" s="5"/>
      <c r="C386" s="5"/>
      <c r="D386" s="5"/>
      <c r="E386" s="5"/>
      <c r="F386" s="5"/>
      <c r="G386" s="5"/>
      <c r="H386" s="4"/>
      <c r="I386" s="19"/>
      <c r="J386" s="8"/>
      <c r="K386" s="17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</row>
    <row r="387" spans="1:53" x14ac:dyDescent="0.25">
      <c r="A387" s="5"/>
      <c r="B387" s="5"/>
      <c r="C387" s="5"/>
      <c r="D387" s="5"/>
      <c r="E387" s="5"/>
      <c r="F387" s="5"/>
      <c r="G387" s="5"/>
      <c r="H387" s="4"/>
      <c r="I387" s="19"/>
      <c r="J387" s="8"/>
      <c r="K387" s="17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</row>
    <row r="388" spans="1:53" x14ac:dyDescent="0.25">
      <c r="A388" s="5"/>
      <c r="B388" s="5"/>
      <c r="C388" s="5"/>
      <c r="D388" s="5"/>
      <c r="E388" s="5"/>
      <c r="F388" s="5"/>
      <c r="G388" s="5"/>
      <c r="H388" s="4"/>
      <c r="I388" s="19"/>
      <c r="J388" s="8"/>
      <c r="K388" s="17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</row>
    <row r="389" spans="1:53" x14ac:dyDescent="0.25">
      <c r="A389" s="5"/>
      <c r="B389" s="5"/>
      <c r="C389" s="5"/>
      <c r="D389" s="5"/>
      <c r="E389" s="5"/>
      <c r="F389" s="5"/>
      <c r="G389" s="5"/>
      <c r="H389" s="4"/>
      <c r="I389" s="19"/>
      <c r="J389" s="8"/>
      <c r="K389" s="17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</row>
    <row r="390" spans="1:53" x14ac:dyDescent="0.25">
      <c r="A390" s="5"/>
      <c r="B390" s="5"/>
      <c r="C390" s="5"/>
      <c r="D390" s="5"/>
      <c r="E390" s="5"/>
      <c r="F390" s="5"/>
      <c r="G390" s="5"/>
      <c r="H390" s="4"/>
      <c r="I390" s="19"/>
      <c r="J390" s="8"/>
      <c r="K390" s="17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</row>
    <row r="391" spans="1:53" x14ac:dyDescent="0.25">
      <c r="A391" s="5"/>
      <c r="B391" s="5"/>
      <c r="C391" s="5"/>
      <c r="D391" s="5"/>
      <c r="E391" s="5"/>
      <c r="F391" s="5"/>
      <c r="G391" s="5"/>
      <c r="H391" s="4"/>
      <c r="I391" s="19"/>
      <c r="J391" s="8"/>
      <c r="K391" s="17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</row>
    <row r="392" spans="1:53" x14ac:dyDescent="0.25">
      <c r="A392" s="5"/>
      <c r="B392" s="5"/>
      <c r="C392" s="5"/>
      <c r="D392" s="5"/>
      <c r="E392" s="5"/>
      <c r="F392" s="5"/>
      <c r="G392" s="5"/>
      <c r="H392" s="4"/>
      <c r="I392" s="19"/>
      <c r="J392" s="8"/>
      <c r="K392" s="17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</row>
    <row r="393" spans="1:53" x14ac:dyDescent="0.25">
      <c r="A393" s="5"/>
      <c r="B393" s="5"/>
      <c r="C393" s="5"/>
      <c r="D393" s="5"/>
      <c r="E393" s="5"/>
      <c r="F393" s="5"/>
      <c r="G393" s="5"/>
      <c r="H393" s="4"/>
      <c r="I393" s="19"/>
      <c r="J393" s="8"/>
      <c r="K393" s="17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</row>
    <row r="394" spans="1:53" x14ac:dyDescent="0.25">
      <c r="A394" s="5"/>
      <c r="B394" s="5"/>
      <c r="C394" s="5"/>
      <c r="D394" s="5"/>
      <c r="E394" s="5"/>
      <c r="F394" s="5"/>
      <c r="G394" s="5"/>
      <c r="H394" s="4"/>
      <c r="I394" s="19"/>
      <c r="J394" s="8"/>
      <c r="K394" s="17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</row>
    <row r="395" spans="1:53" x14ac:dyDescent="0.25">
      <c r="A395" s="5"/>
      <c r="B395" s="5"/>
      <c r="C395" s="5"/>
      <c r="D395" s="5"/>
      <c r="E395" s="5"/>
      <c r="F395" s="5"/>
      <c r="G395" s="5"/>
      <c r="H395" s="4"/>
      <c r="I395" s="19"/>
      <c r="J395" s="8"/>
      <c r="K395" s="17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</row>
    <row r="396" spans="1:53" x14ac:dyDescent="0.25">
      <c r="A396" s="5"/>
      <c r="B396" s="5"/>
      <c r="C396" s="5"/>
      <c r="D396" s="5"/>
      <c r="E396" s="5"/>
      <c r="F396" s="5"/>
      <c r="G396" s="5"/>
      <c r="H396" s="4"/>
      <c r="I396" s="19"/>
      <c r="J396" s="8"/>
      <c r="K396" s="17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</row>
    <row r="397" spans="1:53" x14ac:dyDescent="0.25">
      <c r="A397" s="5"/>
      <c r="B397" s="5"/>
      <c r="C397" s="5"/>
      <c r="D397" s="5"/>
      <c r="E397" s="5"/>
      <c r="F397" s="5"/>
      <c r="G397" s="5"/>
      <c r="H397" s="4"/>
      <c r="I397" s="19"/>
      <c r="J397" s="8"/>
      <c r="K397" s="17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</row>
    <row r="398" spans="1:53" x14ac:dyDescent="0.25">
      <c r="A398" s="5"/>
      <c r="B398" s="5"/>
      <c r="C398" s="5"/>
      <c r="D398" s="5"/>
      <c r="E398" s="5"/>
      <c r="F398" s="5"/>
      <c r="G398" s="5"/>
      <c r="H398" s="4"/>
      <c r="I398" s="19"/>
      <c r="J398" s="8"/>
      <c r="K398" s="17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</row>
    <row r="399" spans="1:53" x14ac:dyDescent="0.25">
      <c r="A399" s="5"/>
      <c r="B399" s="5"/>
      <c r="C399" s="5"/>
      <c r="D399" s="5"/>
      <c r="E399" s="5"/>
      <c r="F399" s="5"/>
      <c r="G399" s="5"/>
      <c r="H399" s="4"/>
      <c r="I399" s="19"/>
      <c r="J399" s="8"/>
      <c r="K399" s="17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</row>
    <row r="400" spans="1:53" x14ac:dyDescent="0.25">
      <c r="A400" s="5"/>
      <c r="B400" s="5"/>
      <c r="C400" s="5"/>
      <c r="D400" s="5"/>
      <c r="E400" s="5"/>
      <c r="F400" s="5"/>
      <c r="G400" s="5"/>
      <c r="H400" s="4"/>
      <c r="I400" s="19"/>
      <c r="J400" s="8"/>
      <c r="K400" s="17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</row>
    <row r="401" spans="1:53" x14ac:dyDescent="0.25">
      <c r="A401" s="5"/>
      <c r="B401" s="5"/>
      <c r="C401" s="5"/>
      <c r="D401" s="5"/>
      <c r="E401" s="5"/>
      <c r="F401" s="5"/>
      <c r="G401" s="5"/>
      <c r="H401" s="4"/>
      <c r="I401" s="19"/>
      <c r="J401" s="8"/>
      <c r="K401" s="17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</row>
    <row r="402" spans="1:53" x14ac:dyDescent="0.25">
      <c r="A402" s="5"/>
      <c r="B402" s="5"/>
      <c r="C402" s="5"/>
      <c r="D402" s="5"/>
      <c r="E402" s="5"/>
      <c r="F402" s="5"/>
      <c r="G402" s="5"/>
      <c r="H402" s="4"/>
      <c r="I402" s="19"/>
      <c r="J402" s="8"/>
      <c r="K402" s="17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</row>
    <row r="403" spans="1:53" x14ac:dyDescent="0.25">
      <c r="A403" s="5"/>
      <c r="B403" s="5"/>
      <c r="C403" s="5"/>
      <c r="D403" s="5"/>
      <c r="E403" s="5"/>
      <c r="F403" s="5"/>
      <c r="G403" s="5"/>
      <c r="H403" s="4"/>
      <c r="I403" s="19"/>
      <c r="J403" s="8"/>
      <c r="K403" s="17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</row>
    <row r="404" spans="1:53" x14ac:dyDescent="0.25">
      <c r="A404" s="5"/>
      <c r="B404" s="5"/>
      <c r="C404" s="5"/>
      <c r="D404" s="5"/>
      <c r="E404" s="5"/>
      <c r="F404" s="5"/>
      <c r="G404" s="5"/>
      <c r="H404" s="4"/>
      <c r="I404" s="19"/>
      <c r="J404" s="8"/>
      <c r="K404" s="17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</row>
    <row r="405" spans="1:53" x14ac:dyDescent="0.25">
      <c r="A405" s="5"/>
      <c r="B405" s="5"/>
      <c r="C405" s="5"/>
      <c r="D405" s="5"/>
      <c r="E405" s="5"/>
      <c r="F405" s="5"/>
      <c r="G405" s="5"/>
      <c r="H405" s="4"/>
      <c r="I405" s="19"/>
      <c r="J405" s="8"/>
      <c r="K405" s="17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</row>
    <row r="406" spans="1:53" x14ac:dyDescent="0.25">
      <c r="A406" s="5"/>
      <c r="B406" s="5"/>
      <c r="C406" s="5"/>
      <c r="D406" s="5"/>
      <c r="E406" s="5"/>
      <c r="F406" s="5"/>
      <c r="G406" s="5"/>
      <c r="H406" s="4"/>
      <c r="I406" s="19"/>
      <c r="J406" s="8"/>
      <c r="K406" s="17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</row>
    <row r="407" spans="1:53" x14ac:dyDescent="0.25">
      <c r="A407" s="5"/>
      <c r="B407" s="5"/>
      <c r="C407" s="5"/>
      <c r="D407" s="5"/>
      <c r="E407" s="5"/>
      <c r="F407" s="5"/>
      <c r="G407" s="5"/>
      <c r="H407" s="4"/>
      <c r="I407" s="19"/>
      <c r="J407" s="8"/>
      <c r="K407" s="17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</row>
    <row r="408" spans="1:53" x14ac:dyDescent="0.25">
      <c r="A408" s="5"/>
      <c r="B408" s="5"/>
      <c r="C408" s="5"/>
      <c r="D408" s="5"/>
      <c r="E408" s="5"/>
      <c r="F408" s="5"/>
      <c r="G408" s="5"/>
      <c r="H408" s="4"/>
      <c r="I408" s="19"/>
      <c r="J408" s="8"/>
      <c r="K408" s="17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</row>
    <row r="409" spans="1:53" x14ac:dyDescent="0.25">
      <c r="A409" s="5"/>
      <c r="B409" s="5"/>
      <c r="C409" s="5"/>
      <c r="D409" s="5"/>
      <c r="E409" s="5"/>
      <c r="F409" s="5"/>
      <c r="G409" s="5"/>
      <c r="H409" s="4"/>
      <c r="I409" s="19"/>
      <c r="J409" s="8"/>
      <c r="K409" s="17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</row>
    <row r="410" spans="1:53" x14ac:dyDescent="0.25">
      <c r="A410" s="5"/>
      <c r="B410" s="5"/>
      <c r="C410" s="5"/>
      <c r="D410" s="5"/>
      <c r="E410" s="5"/>
      <c r="F410" s="5"/>
      <c r="G410" s="5"/>
      <c r="H410" s="4"/>
      <c r="I410" s="19"/>
      <c r="J410" s="8"/>
      <c r="K410" s="17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</row>
    <row r="411" spans="1:53" x14ac:dyDescent="0.25">
      <c r="A411" s="5"/>
      <c r="B411" s="5"/>
      <c r="C411" s="5"/>
      <c r="D411" s="5"/>
      <c r="E411" s="5"/>
      <c r="F411" s="5"/>
      <c r="G411" s="5"/>
      <c r="H411" s="4"/>
      <c r="I411" s="19"/>
      <c r="J411" s="8"/>
      <c r="K411" s="17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</row>
    <row r="412" spans="1:53" x14ac:dyDescent="0.25">
      <c r="A412" s="5"/>
      <c r="B412" s="5"/>
      <c r="C412" s="5"/>
      <c r="D412" s="5"/>
      <c r="E412" s="5"/>
      <c r="F412" s="5"/>
      <c r="G412" s="5"/>
      <c r="H412" s="4"/>
      <c r="I412" s="19"/>
      <c r="J412" s="8"/>
      <c r="K412" s="17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</row>
    <row r="413" spans="1:53" x14ac:dyDescent="0.25">
      <c r="A413" s="5"/>
      <c r="B413" s="5"/>
      <c r="C413" s="5"/>
      <c r="D413" s="5"/>
      <c r="E413" s="5"/>
      <c r="F413" s="5"/>
      <c r="G413" s="5"/>
      <c r="H413" s="4"/>
      <c r="I413" s="19"/>
      <c r="J413" s="8"/>
      <c r="K413" s="17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</row>
    <row r="414" spans="1:53" x14ac:dyDescent="0.25">
      <c r="A414" s="5"/>
      <c r="B414" s="5"/>
      <c r="C414" s="5"/>
      <c r="D414" s="5"/>
      <c r="E414" s="5"/>
      <c r="F414" s="5"/>
      <c r="G414" s="5"/>
      <c r="H414" s="4"/>
      <c r="I414" s="19"/>
      <c r="J414" s="8"/>
      <c r="K414" s="17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</row>
    <row r="415" spans="1:53" x14ac:dyDescent="0.25">
      <c r="A415" s="5"/>
      <c r="B415" s="5"/>
      <c r="C415" s="5"/>
      <c r="D415" s="5"/>
      <c r="E415" s="5"/>
      <c r="F415" s="5"/>
      <c r="G415" s="5"/>
      <c r="H415" s="4"/>
      <c r="I415" s="19"/>
      <c r="J415" s="8"/>
      <c r="K415" s="17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</row>
    <row r="416" spans="1:53" x14ac:dyDescent="0.25">
      <c r="A416" s="5"/>
      <c r="B416" s="5"/>
      <c r="C416" s="5"/>
      <c r="D416" s="5"/>
      <c r="E416" s="5"/>
      <c r="F416" s="5"/>
      <c r="G416" s="5"/>
      <c r="H416" s="4"/>
      <c r="I416" s="19"/>
      <c r="J416" s="8"/>
      <c r="K416" s="17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</row>
    <row r="417" spans="1:53" x14ac:dyDescent="0.25">
      <c r="A417" s="5"/>
      <c r="B417" s="5"/>
      <c r="C417" s="5"/>
      <c r="D417" s="5"/>
      <c r="E417" s="5"/>
      <c r="F417" s="5"/>
      <c r="G417" s="5"/>
      <c r="H417" s="4"/>
      <c r="I417" s="19"/>
      <c r="J417" s="8"/>
      <c r="K417" s="17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</row>
    <row r="418" spans="1:53" x14ac:dyDescent="0.25">
      <c r="A418" s="5"/>
      <c r="B418" s="5"/>
      <c r="C418" s="5"/>
      <c r="D418" s="5"/>
      <c r="E418" s="5"/>
      <c r="F418" s="5"/>
      <c r="G418" s="5"/>
      <c r="H418" s="4"/>
      <c r="I418" s="19"/>
      <c r="J418" s="8"/>
      <c r="K418" s="17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</row>
    <row r="419" spans="1:53" x14ac:dyDescent="0.25">
      <c r="A419" s="5"/>
      <c r="B419" s="5"/>
      <c r="C419" s="5"/>
      <c r="D419" s="5"/>
      <c r="E419" s="5"/>
      <c r="F419" s="5"/>
      <c r="G419" s="5"/>
      <c r="H419" s="4"/>
      <c r="I419" s="19"/>
      <c r="J419" s="8"/>
      <c r="K419" s="17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</row>
    <row r="420" spans="1:53" x14ac:dyDescent="0.25">
      <c r="A420" s="5"/>
      <c r="B420" s="5"/>
      <c r="C420" s="5"/>
      <c r="D420" s="5"/>
      <c r="E420" s="5"/>
      <c r="F420" s="5"/>
      <c r="G420" s="5"/>
      <c r="H420" s="4"/>
      <c r="I420" s="19"/>
      <c r="J420" s="8"/>
      <c r="K420" s="17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</row>
    <row r="421" spans="1:53" x14ac:dyDescent="0.25">
      <c r="A421" s="5"/>
      <c r="B421" s="5"/>
      <c r="C421" s="5"/>
      <c r="D421" s="5"/>
      <c r="E421" s="5"/>
      <c r="F421" s="5"/>
      <c r="G421" s="5"/>
      <c r="H421" s="4"/>
      <c r="I421" s="19"/>
      <c r="J421" s="8"/>
      <c r="K421" s="17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</row>
    <row r="422" spans="1:53" x14ac:dyDescent="0.25">
      <c r="A422" s="5"/>
      <c r="B422" s="5"/>
      <c r="C422" s="5"/>
      <c r="D422" s="5"/>
      <c r="E422" s="5"/>
      <c r="F422" s="5"/>
      <c r="G422" s="5"/>
      <c r="H422" s="4"/>
      <c r="I422" s="19"/>
      <c r="J422" s="8"/>
      <c r="K422" s="17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</row>
    <row r="423" spans="1:53" x14ac:dyDescent="0.25">
      <c r="A423" s="5"/>
      <c r="B423" s="5"/>
      <c r="C423" s="5"/>
      <c r="D423" s="5"/>
      <c r="E423" s="5"/>
      <c r="F423" s="5"/>
      <c r="G423" s="5"/>
      <c r="H423" s="4"/>
      <c r="I423" s="19"/>
      <c r="J423" s="8"/>
      <c r="K423" s="17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</row>
    <row r="424" spans="1:53" x14ac:dyDescent="0.25">
      <c r="A424" s="5"/>
      <c r="B424" s="5"/>
      <c r="C424" s="5"/>
      <c r="D424" s="5"/>
      <c r="E424" s="5"/>
      <c r="F424" s="5"/>
      <c r="G424" s="5"/>
      <c r="H424" s="4"/>
      <c r="I424" s="19"/>
      <c r="J424" s="8"/>
      <c r="K424" s="17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</row>
    <row r="425" spans="1:53" x14ac:dyDescent="0.25">
      <c r="A425" s="5"/>
      <c r="B425" s="5"/>
      <c r="C425" s="5"/>
      <c r="D425" s="5"/>
      <c r="E425" s="5"/>
      <c r="F425" s="5"/>
      <c r="G425" s="5"/>
      <c r="H425" s="4"/>
      <c r="I425" s="19"/>
      <c r="J425" s="8"/>
      <c r="K425" s="17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</row>
    <row r="426" spans="1:53" x14ac:dyDescent="0.25">
      <c r="A426" s="5"/>
      <c r="B426" s="5"/>
      <c r="C426" s="5"/>
      <c r="D426" s="5"/>
      <c r="E426" s="5"/>
      <c r="F426" s="5"/>
      <c r="G426" s="5"/>
      <c r="H426" s="4"/>
      <c r="I426" s="19"/>
      <c r="J426" s="8"/>
      <c r="K426" s="17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</row>
    <row r="427" spans="1:53" x14ac:dyDescent="0.25">
      <c r="A427" s="5"/>
      <c r="B427" s="5"/>
      <c r="C427" s="5"/>
      <c r="D427" s="5"/>
      <c r="E427" s="5"/>
      <c r="F427" s="5"/>
      <c r="G427" s="5"/>
      <c r="H427" s="4"/>
      <c r="I427" s="19"/>
      <c r="J427" s="8"/>
      <c r="K427" s="17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</row>
    <row r="428" spans="1:53" x14ac:dyDescent="0.25">
      <c r="A428" s="5"/>
      <c r="B428" s="5"/>
      <c r="C428" s="5"/>
      <c r="D428" s="5"/>
      <c r="E428" s="5"/>
      <c r="F428" s="5"/>
      <c r="G428" s="5"/>
      <c r="H428" s="4"/>
      <c r="I428" s="19"/>
      <c r="J428" s="8"/>
      <c r="K428" s="17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</row>
    <row r="429" spans="1:53" x14ac:dyDescent="0.25">
      <c r="A429" s="5"/>
      <c r="B429" s="5"/>
      <c r="C429" s="5"/>
      <c r="D429" s="5"/>
      <c r="E429" s="5"/>
      <c r="F429" s="5"/>
      <c r="G429" s="5"/>
      <c r="H429" s="4"/>
      <c r="I429" s="19"/>
      <c r="J429" s="8"/>
      <c r="K429" s="17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</row>
    <row r="430" spans="1:53" x14ac:dyDescent="0.25">
      <c r="A430" s="5"/>
      <c r="B430" s="5"/>
      <c r="C430" s="5"/>
      <c r="D430" s="5"/>
      <c r="E430" s="5"/>
      <c r="F430" s="5"/>
      <c r="G430" s="5"/>
      <c r="H430" s="4"/>
      <c r="I430" s="19"/>
      <c r="J430" s="8"/>
      <c r="K430" s="17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</row>
    <row r="431" spans="1:53" x14ac:dyDescent="0.25">
      <c r="A431" s="5"/>
      <c r="B431" s="5"/>
      <c r="C431" s="5"/>
      <c r="D431" s="5"/>
      <c r="E431" s="5"/>
      <c r="F431" s="5"/>
      <c r="G431" s="5"/>
      <c r="H431" s="4"/>
      <c r="I431" s="19"/>
      <c r="J431" s="8"/>
      <c r="K431" s="17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</row>
    <row r="432" spans="1:53" x14ac:dyDescent="0.25">
      <c r="A432" s="5"/>
      <c r="B432" s="5"/>
      <c r="C432" s="5"/>
      <c r="D432" s="5"/>
      <c r="E432" s="5"/>
      <c r="F432" s="5"/>
      <c r="G432" s="5"/>
      <c r="H432" s="4"/>
      <c r="I432" s="19"/>
      <c r="J432" s="8"/>
      <c r="K432" s="17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</row>
    <row r="433" spans="1:53" x14ac:dyDescent="0.25">
      <c r="A433" s="5"/>
      <c r="B433" s="5"/>
      <c r="C433" s="5"/>
      <c r="D433" s="5"/>
      <c r="E433" s="5"/>
      <c r="F433" s="5"/>
      <c r="G433" s="5"/>
      <c r="H433" s="4"/>
      <c r="I433" s="19"/>
      <c r="J433" s="8"/>
      <c r="K433" s="17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</row>
  </sheetData>
  <mergeCells count="1">
    <mergeCell ref="F4:G4"/>
  </mergeCells>
  <conditionalFormatting sqref="I7">
    <cfRule type="containsText" dxfId="85" priority="33" operator="containsText" text="INVALID MARK">
      <formula>NOT(ISERROR(SEARCH("INVALID MARK",I7)))</formula>
    </cfRule>
    <cfRule type="containsText" dxfId="84" priority="34" operator="containsText" text="INVALID ENTRY">
      <formula>NOT(ISERROR(SEARCH("INVALID ENTRY",I7)))</formula>
    </cfRule>
    <cfRule type="containsText" dxfId="83" priority="35" operator="containsText" text="MISSING MARK">
      <formula>NOT(ISERROR(SEARCH("MISSING MARK",I7)))</formula>
    </cfRule>
  </conditionalFormatting>
  <conditionalFormatting sqref="D7">
    <cfRule type="containsText" dxfId="82" priority="31" operator="containsText" text="FAIL">
      <formula>NOT(ISERROR(SEARCH("FAIL",D7)))</formula>
    </cfRule>
    <cfRule type="containsText" dxfId="81" priority="32" operator="containsText" text="PASS">
      <formula>NOT(ISERROR(SEARCH("PASS",D7)))</formula>
    </cfRule>
  </conditionalFormatting>
  <conditionalFormatting sqref="I8:I10">
    <cfRule type="containsText" dxfId="80" priority="28" operator="containsText" text="INVALID MARK">
      <formula>NOT(ISERROR(SEARCH("INVALID MARK",I8)))</formula>
    </cfRule>
    <cfRule type="containsText" dxfId="79" priority="29" operator="containsText" text="INVALID ENTRY">
      <formula>NOT(ISERROR(SEARCH("INVALID ENTRY",I8)))</formula>
    </cfRule>
    <cfRule type="containsText" dxfId="78" priority="30" operator="containsText" text="MISSING MARK">
      <formula>NOT(ISERROR(SEARCH("MISSING MARK",I8)))</formula>
    </cfRule>
  </conditionalFormatting>
  <conditionalFormatting sqref="D8:D10">
    <cfRule type="containsText" dxfId="77" priority="26" operator="containsText" text="FAIL">
      <formula>NOT(ISERROR(SEARCH("FAIL",D8)))</formula>
    </cfRule>
    <cfRule type="containsText" dxfId="76" priority="27" operator="containsText" text="PASS">
      <formula>NOT(ISERROR(SEARCH("PASS",D8)))</formula>
    </cfRule>
  </conditionalFormatting>
  <conditionalFormatting sqref="I11:I15">
    <cfRule type="containsText" dxfId="75" priority="23" operator="containsText" text="INVALID MARK">
      <formula>NOT(ISERROR(SEARCH("INVALID MARK",I11)))</formula>
    </cfRule>
    <cfRule type="containsText" dxfId="74" priority="24" operator="containsText" text="INVALID ENTRY">
      <formula>NOT(ISERROR(SEARCH("INVALID ENTRY",I11)))</formula>
    </cfRule>
    <cfRule type="containsText" dxfId="73" priority="25" operator="containsText" text="MISSING MARK">
      <formula>NOT(ISERROR(SEARCH("MISSING MARK",I11)))</formula>
    </cfRule>
  </conditionalFormatting>
  <conditionalFormatting sqref="D11:D15">
    <cfRule type="containsText" dxfId="72" priority="21" operator="containsText" text="FAIL">
      <formula>NOT(ISERROR(SEARCH("FAIL",D11)))</formula>
    </cfRule>
    <cfRule type="containsText" dxfId="71" priority="22" operator="containsText" text="PASS">
      <formula>NOT(ISERROR(SEARCH("PASS",D11)))</formula>
    </cfRule>
  </conditionalFormatting>
  <conditionalFormatting sqref="I16">
    <cfRule type="containsText" dxfId="70" priority="18" operator="containsText" text="INVALID MARK">
      <formula>NOT(ISERROR(SEARCH("INVALID MARK",I16)))</formula>
    </cfRule>
    <cfRule type="containsText" dxfId="69" priority="19" operator="containsText" text="INVALID ENTRY">
      <formula>NOT(ISERROR(SEARCH("INVALID ENTRY",I16)))</formula>
    </cfRule>
    <cfRule type="containsText" dxfId="68" priority="20" operator="containsText" text="MISSING MARK">
      <formula>NOT(ISERROR(SEARCH("MISSING MARK",I16)))</formula>
    </cfRule>
  </conditionalFormatting>
  <conditionalFormatting sqref="D16">
    <cfRule type="containsText" dxfId="67" priority="16" operator="containsText" text="FAIL">
      <formula>NOT(ISERROR(SEARCH("FAIL",D16)))</formula>
    </cfRule>
    <cfRule type="containsText" dxfId="66" priority="17" operator="containsText" text="PASS">
      <formula>NOT(ISERROR(SEARCH("PASS",D16)))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433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Oral Assignment 1</v>
      </c>
      <c r="E3" s="5"/>
      <c r="F3" s="7" t="s">
        <v>75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31" t="s">
        <v>76</v>
      </c>
      <c r="G4" s="131"/>
      <c r="H4" s="4"/>
      <c r="I4" s="19"/>
      <c r="J4" s="8"/>
      <c r="K4" s="95" t="s">
        <v>73</v>
      </c>
      <c r="L4" s="92" t="s">
        <v>74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56</v>
      </c>
      <c r="M5" s="86" t="s">
        <v>57</v>
      </c>
      <c r="N5" s="86" t="s">
        <v>58</v>
      </c>
      <c r="O5" s="86" t="s">
        <v>59</v>
      </c>
      <c r="P5" s="86" t="s">
        <v>60</v>
      </c>
      <c r="Q5" s="86" t="s">
        <v>61</v>
      </c>
      <c r="R5" s="86" t="s">
        <v>62</v>
      </c>
      <c r="S5" s="86" t="s">
        <v>63</v>
      </c>
      <c r="T5" s="86" t="s">
        <v>64</v>
      </c>
      <c r="U5" s="86" t="s">
        <v>65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20</v>
      </c>
      <c r="J6" s="79"/>
      <c r="K6" s="80">
        <f t="shared" ref="K6" si="0">SUM(L6:U6)</f>
        <v>20</v>
      </c>
      <c r="L6" s="81">
        <v>10</v>
      </c>
      <c r="M6" s="81">
        <v>5</v>
      </c>
      <c r="N6" s="81">
        <v>3</v>
      </c>
      <c r="O6" s="81">
        <v>2</v>
      </c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0.8</v>
      </c>
      <c r="I7" s="20">
        <f>IF(ISOVERMAX(L7:U7),"INVALID MARK",IF(COUNT(L7:U7)=COUNT(L$6:U$6),IFERROR(H7*K$6,),IF(COUNT(L7:U7)&lt;COUNT(L$6:U$6),"MISSING MARK","INVALID ENTRY")))</f>
        <v>16</v>
      </c>
      <c r="J7" s="28">
        <v>0</v>
      </c>
      <c r="K7" s="24">
        <f t="shared" ref="K7:K10" si="2">SUM(L7:U7)</f>
        <v>16</v>
      </c>
      <c r="L7" s="9">
        <v>6</v>
      </c>
      <c r="M7" s="9">
        <v>5</v>
      </c>
      <c r="N7" s="9">
        <v>3</v>
      </c>
      <c r="O7" s="9">
        <v>2</v>
      </c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0.95</v>
      </c>
      <c r="I8" s="20">
        <f>IF(ISOVERMAX(L8:U8),"INVALID MARK",IF(COUNT(L8:U8)=COUNT(L$6:U$6),IFERROR(H8*K$6,),IF(COUNT(L8:U8)&lt;COUNT(L$6:U$6),"MISSING MARK","INVALID ENTRY")))</f>
        <v>19</v>
      </c>
      <c r="J8" s="28">
        <v>0</v>
      </c>
      <c r="K8" s="24">
        <f t="shared" si="2"/>
        <v>19</v>
      </c>
      <c r="L8" s="9">
        <v>10</v>
      </c>
      <c r="M8" s="9">
        <v>5</v>
      </c>
      <c r="N8" s="9">
        <v>3</v>
      </c>
      <c r="O8" s="9">
        <v>1</v>
      </c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0.45</v>
      </c>
      <c r="I9" s="20">
        <f>IF(ISOVERMAX(L9:U9),"INVALID MARK",IF(COUNT(L9:U9)=COUNT(L$6:U$6),IFERROR(H9*K$6,),IF(COUNT(L9:U9)&lt;COUNT(L$6:U$6),"MISSING MARK","INVALID ENTRY")))</f>
        <v>9</v>
      </c>
      <c r="J9" s="28">
        <v>0</v>
      </c>
      <c r="K9" s="24">
        <f t="shared" si="2"/>
        <v>9</v>
      </c>
      <c r="L9" s="9">
        <v>8</v>
      </c>
      <c r="M9" s="9">
        <v>0</v>
      </c>
      <c r="N9" s="9">
        <v>0</v>
      </c>
      <c r="O9" s="9">
        <v>1</v>
      </c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0.55000000000000004</v>
      </c>
      <c r="I10" s="20">
        <f>IF(ISOVERMAX(L10:U10),"INVALID MARK",IF(COUNT(L10:U10)=COUNT(L$6:U$6),IFERROR(H10*K$6,),IF(COUNT(L10:U10)&lt;COUNT(L$6:U$6),"MISSING MARK","INVALID ENTRY")))</f>
        <v>11</v>
      </c>
      <c r="J10" s="28">
        <v>0</v>
      </c>
      <c r="K10" s="24">
        <f t="shared" si="2"/>
        <v>11</v>
      </c>
      <c r="L10" s="9">
        <v>6</v>
      </c>
      <c r="M10" s="9">
        <v>3</v>
      </c>
      <c r="N10" s="9">
        <v>1</v>
      </c>
      <c r="O10" s="9">
        <v>1</v>
      </c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0.95</v>
      </c>
      <c r="I11" s="20">
        <f>IF(ISOVERMAX(L11:U11),"INVALID MARK",IF(COUNT(L11:U11)=COUNT(L$6:U$6),IFERROR(H11*K$6,),IF(COUNT(L11:U11)&lt;COUNT(L$6:U$6),"MISSING MARK","INVALID ENTRY")))</f>
        <v>19</v>
      </c>
      <c r="J11" s="28">
        <v>0</v>
      </c>
      <c r="K11" s="24">
        <f t="shared" ref="K11:K15" si="6">SUM(L11:U11)</f>
        <v>19</v>
      </c>
      <c r="L11" s="9">
        <v>10</v>
      </c>
      <c r="M11" s="9">
        <v>5</v>
      </c>
      <c r="N11" s="9">
        <v>2</v>
      </c>
      <c r="O11" s="9">
        <v>2</v>
      </c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0.55000000000000004</v>
      </c>
      <c r="I12" s="20">
        <f>IF(ISOVERMAX(L12:U12),"INVALID MARK",IF(COUNT(L12:U12)=COUNT(L$6:U$6),IFERROR(H12*K$6,),IF(COUNT(L12:U12)&lt;COUNT(L$6:U$6),"MISSING MARK","INVALID ENTRY")))</f>
        <v>11</v>
      </c>
      <c r="J12" s="28">
        <v>0</v>
      </c>
      <c r="K12" s="24">
        <f t="shared" si="6"/>
        <v>11</v>
      </c>
      <c r="L12" s="9">
        <v>5</v>
      </c>
      <c r="M12" s="9">
        <v>2</v>
      </c>
      <c r="N12" s="9">
        <v>2</v>
      </c>
      <c r="O12" s="9">
        <v>2</v>
      </c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0.6</v>
      </c>
      <c r="I13" s="20">
        <f>IF(ISOVERMAX(L13:U13),"INVALID MARK",IF(COUNT(L13:U13)=COUNT(L$6:U$6),IFERROR(H13*K$6,),IF(COUNT(L13:U13)&lt;COUNT(L$6:U$6),"MISSING MARK","INVALID ENTRY")))</f>
        <v>12</v>
      </c>
      <c r="J13" s="28">
        <v>0</v>
      </c>
      <c r="K13" s="24">
        <f t="shared" si="6"/>
        <v>12</v>
      </c>
      <c r="L13" s="9">
        <v>6</v>
      </c>
      <c r="M13" s="9">
        <v>3</v>
      </c>
      <c r="N13" s="9">
        <v>2</v>
      </c>
      <c r="O13" s="9">
        <v>1</v>
      </c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0.65</v>
      </c>
      <c r="I14" s="20">
        <f>IF(ISOVERMAX(L14:U14),"INVALID MARK",IF(COUNT(L14:U14)=COUNT(L$6:U$6),IFERROR(H14*K$6,),IF(COUNT(L14:U14)&lt;COUNT(L$6:U$6),"MISSING MARK","INVALID ENTRY")))</f>
        <v>13</v>
      </c>
      <c r="J14" s="28">
        <v>0</v>
      </c>
      <c r="K14" s="24">
        <f t="shared" si="6"/>
        <v>13</v>
      </c>
      <c r="L14" s="9">
        <v>3</v>
      </c>
      <c r="M14" s="9">
        <v>5</v>
      </c>
      <c r="N14" s="9">
        <v>3</v>
      </c>
      <c r="O14" s="9">
        <v>2</v>
      </c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0.65</v>
      </c>
      <c r="I15" s="20" t="str">
        <f>IF(ISOVERMAX(L15:U15),"INVALID MARK",IF(COUNT(L15:U15)=COUNT(L$6:U$6),IFERROR(H15*K$6,),IF(COUNT(L15:U15)&lt;COUNT(L$6:U$6),"MISSING MARK","INVALID ENTRY")))</f>
        <v>MISSING MARK</v>
      </c>
      <c r="J15" s="28">
        <v>0</v>
      </c>
      <c r="K15" s="24">
        <f t="shared" si="6"/>
        <v>13</v>
      </c>
      <c r="L15" s="9">
        <v>7</v>
      </c>
      <c r="M15" s="9">
        <v>5</v>
      </c>
      <c r="N15" s="9"/>
      <c r="O15" s="9">
        <v>1</v>
      </c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0.625</v>
      </c>
      <c r="I16" s="20">
        <f>IF(ISOVERMAX(L16:U16),"INVALID MARK",IF(COUNT(L16:U16)=COUNT(L$6:U$6),IFERROR(H16*K$6,),IF(COUNT(L16:U16)&lt;COUNT(L$6:U$6),"MISSING MARK","INVALID ENTRY")))</f>
        <v>12.5</v>
      </c>
      <c r="J16" s="28">
        <v>0</v>
      </c>
      <c r="K16" s="24">
        <f t="shared" ref="K16" si="9">SUM(L16:U16)</f>
        <v>12.5</v>
      </c>
      <c r="L16" s="9">
        <v>6.5</v>
      </c>
      <c r="M16" s="9">
        <v>3</v>
      </c>
      <c r="N16" s="9">
        <v>1</v>
      </c>
      <c r="O16" s="9">
        <v>2</v>
      </c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5"/>
      <c r="E17" s="5"/>
      <c r="F17" s="5"/>
      <c r="G17" s="5"/>
      <c r="H17" s="4"/>
      <c r="I17" s="19"/>
      <c r="J17" s="8"/>
      <c r="K17" s="17"/>
      <c r="L17" s="9"/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  <row r="311" spans="1:53" x14ac:dyDescent="0.25">
      <c r="A311" s="5"/>
      <c r="B311" s="5"/>
      <c r="C311" s="5"/>
      <c r="D311" s="5"/>
      <c r="E311" s="5"/>
      <c r="F311" s="5"/>
      <c r="G311" s="5"/>
      <c r="H311" s="4"/>
      <c r="I311" s="19"/>
      <c r="J311" s="8"/>
      <c r="K311" s="17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</row>
    <row r="312" spans="1:53" x14ac:dyDescent="0.25">
      <c r="A312" s="5"/>
      <c r="B312" s="5"/>
      <c r="C312" s="5"/>
      <c r="D312" s="5"/>
      <c r="E312" s="5"/>
      <c r="F312" s="5"/>
      <c r="G312" s="5"/>
      <c r="H312" s="4"/>
      <c r="I312" s="19"/>
      <c r="J312" s="8"/>
      <c r="K312" s="17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</row>
    <row r="313" spans="1:53" x14ac:dyDescent="0.25">
      <c r="A313" s="5"/>
      <c r="B313" s="5"/>
      <c r="C313" s="5"/>
      <c r="D313" s="5"/>
      <c r="E313" s="5"/>
      <c r="F313" s="5"/>
      <c r="G313" s="5"/>
      <c r="H313" s="4"/>
      <c r="I313" s="19"/>
      <c r="J313" s="8"/>
      <c r="K313" s="17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</row>
    <row r="314" spans="1:53" x14ac:dyDescent="0.25">
      <c r="A314" s="5"/>
      <c r="B314" s="5"/>
      <c r="C314" s="5"/>
      <c r="D314" s="5"/>
      <c r="E314" s="5"/>
      <c r="F314" s="5"/>
      <c r="G314" s="5"/>
      <c r="H314" s="4"/>
      <c r="I314" s="19"/>
      <c r="J314" s="8"/>
      <c r="K314" s="17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</row>
    <row r="315" spans="1:53" x14ac:dyDescent="0.25">
      <c r="A315" s="5"/>
      <c r="B315" s="5"/>
      <c r="C315" s="5"/>
      <c r="D315" s="5"/>
      <c r="E315" s="5"/>
      <c r="F315" s="5"/>
      <c r="G315" s="5"/>
      <c r="H315" s="4"/>
      <c r="I315" s="19"/>
      <c r="J315" s="8"/>
      <c r="K315" s="17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</row>
    <row r="316" spans="1:53" x14ac:dyDescent="0.25">
      <c r="A316" s="5"/>
      <c r="B316" s="5"/>
      <c r="C316" s="5"/>
      <c r="D316" s="5"/>
      <c r="E316" s="5"/>
      <c r="F316" s="5"/>
      <c r="G316" s="5"/>
      <c r="H316" s="4"/>
      <c r="I316" s="19"/>
      <c r="J316" s="8"/>
      <c r="K316" s="17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</row>
    <row r="317" spans="1:53" x14ac:dyDescent="0.25">
      <c r="A317" s="5"/>
      <c r="B317" s="5"/>
      <c r="C317" s="5"/>
      <c r="D317" s="5"/>
      <c r="E317" s="5"/>
      <c r="F317" s="5"/>
      <c r="G317" s="5"/>
      <c r="H317" s="4"/>
      <c r="I317" s="19"/>
      <c r="J317" s="8"/>
      <c r="K317" s="17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</row>
    <row r="318" spans="1:53" x14ac:dyDescent="0.25">
      <c r="A318" s="5"/>
      <c r="B318" s="5"/>
      <c r="C318" s="5"/>
      <c r="D318" s="5"/>
      <c r="E318" s="5"/>
      <c r="F318" s="5"/>
      <c r="G318" s="5"/>
      <c r="H318" s="4"/>
      <c r="I318" s="19"/>
      <c r="J318" s="8"/>
      <c r="K318" s="17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</row>
    <row r="319" spans="1:53" x14ac:dyDescent="0.25">
      <c r="A319" s="5"/>
      <c r="B319" s="5"/>
      <c r="C319" s="5"/>
      <c r="D319" s="5"/>
      <c r="E319" s="5"/>
      <c r="F319" s="5"/>
      <c r="G319" s="5"/>
      <c r="H319" s="4"/>
      <c r="I319" s="19"/>
      <c r="J319" s="8"/>
      <c r="K319" s="17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</row>
    <row r="320" spans="1:53" x14ac:dyDescent="0.25">
      <c r="A320" s="5"/>
      <c r="B320" s="5"/>
      <c r="C320" s="5"/>
      <c r="D320" s="5"/>
      <c r="E320" s="5"/>
      <c r="F320" s="5"/>
      <c r="G320" s="5"/>
      <c r="H320" s="4"/>
      <c r="I320" s="19"/>
      <c r="J320" s="8"/>
      <c r="K320" s="17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</row>
    <row r="321" spans="1:53" x14ac:dyDescent="0.25">
      <c r="A321" s="5"/>
      <c r="B321" s="5"/>
      <c r="C321" s="5"/>
      <c r="D321" s="5"/>
      <c r="E321" s="5"/>
      <c r="F321" s="5"/>
      <c r="G321" s="5"/>
      <c r="H321" s="4"/>
      <c r="I321" s="19"/>
      <c r="J321" s="8"/>
      <c r="K321" s="17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</row>
    <row r="322" spans="1:53" x14ac:dyDescent="0.25">
      <c r="A322" s="5"/>
      <c r="B322" s="5"/>
      <c r="C322" s="5"/>
      <c r="D322" s="5"/>
      <c r="E322" s="5"/>
      <c r="F322" s="5"/>
      <c r="G322" s="5"/>
      <c r="H322" s="4"/>
      <c r="I322" s="19"/>
      <c r="J322" s="8"/>
      <c r="K322" s="17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</row>
    <row r="323" spans="1:53" x14ac:dyDescent="0.25">
      <c r="A323" s="5"/>
      <c r="B323" s="5"/>
      <c r="C323" s="5"/>
      <c r="D323" s="5"/>
      <c r="E323" s="5"/>
      <c r="F323" s="5"/>
      <c r="G323" s="5"/>
      <c r="H323" s="4"/>
      <c r="I323" s="19"/>
      <c r="J323" s="8"/>
      <c r="K323" s="17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</row>
    <row r="324" spans="1:53" x14ac:dyDescent="0.25">
      <c r="A324" s="5"/>
      <c r="B324" s="5"/>
      <c r="C324" s="5"/>
      <c r="D324" s="5"/>
      <c r="E324" s="5"/>
      <c r="F324" s="5"/>
      <c r="G324" s="5"/>
      <c r="H324" s="4"/>
      <c r="I324" s="19"/>
      <c r="J324" s="8"/>
      <c r="K324" s="17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</row>
    <row r="325" spans="1:53" x14ac:dyDescent="0.25">
      <c r="A325" s="5"/>
      <c r="B325" s="5"/>
      <c r="C325" s="5"/>
      <c r="D325" s="5"/>
      <c r="E325" s="5"/>
      <c r="F325" s="5"/>
      <c r="G325" s="5"/>
      <c r="H325" s="4"/>
      <c r="I325" s="19"/>
      <c r="J325" s="8"/>
      <c r="K325" s="17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</row>
    <row r="326" spans="1:53" x14ac:dyDescent="0.25">
      <c r="A326" s="5"/>
      <c r="B326" s="5"/>
      <c r="C326" s="5"/>
      <c r="D326" s="5"/>
      <c r="E326" s="5"/>
      <c r="F326" s="5"/>
      <c r="G326" s="5"/>
      <c r="H326" s="4"/>
      <c r="I326" s="19"/>
      <c r="J326" s="8"/>
      <c r="K326" s="17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</row>
    <row r="327" spans="1:53" x14ac:dyDescent="0.25">
      <c r="A327" s="5"/>
      <c r="B327" s="5"/>
      <c r="C327" s="5"/>
      <c r="D327" s="5"/>
      <c r="E327" s="5"/>
      <c r="F327" s="5"/>
      <c r="G327" s="5"/>
      <c r="H327" s="4"/>
      <c r="I327" s="19"/>
      <c r="J327" s="8"/>
      <c r="K327" s="17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</row>
    <row r="328" spans="1:53" x14ac:dyDescent="0.25">
      <c r="A328" s="5"/>
      <c r="B328" s="5"/>
      <c r="C328" s="5"/>
      <c r="D328" s="5"/>
      <c r="E328" s="5"/>
      <c r="F328" s="5"/>
      <c r="G328" s="5"/>
      <c r="H328" s="4"/>
      <c r="I328" s="19"/>
      <c r="J328" s="8"/>
      <c r="K328" s="17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</row>
    <row r="329" spans="1:53" x14ac:dyDescent="0.25">
      <c r="A329" s="5"/>
      <c r="B329" s="5"/>
      <c r="C329" s="5"/>
      <c r="D329" s="5"/>
      <c r="E329" s="5"/>
      <c r="F329" s="5"/>
      <c r="G329" s="5"/>
      <c r="H329" s="4"/>
      <c r="I329" s="19"/>
      <c r="J329" s="8"/>
      <c r="K329" s="17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</row>
    <row r="330" spans="1:53" x14ac:dyDescent="0.25">
      <c r="A330" s="5"/>
      <c r="B330" s="5"/>
      <c r="C330" s="5"/>
      <c r="D330" s="5"/>
      <c r="E330" s="5"/>
      <c r="F330" s="5"/>
      <c r="G330" s="5"/>
      <c r="H330" s="4"/>
      <c r="I330" s="19"/>
      <c r="J330" s="8"/>
      <c r="K330" s="17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</row>
    <row r="331" spans="1:53" x14ac:dyDescent="0.25">
      <c r="A331" s="5"/>
      <c r="B331" s="5"/>
      <c r="C331" s="5"/>
      <c r="D331" s="5"/>
      <c r="E331" s="5"/>
      <c r="F331" s="5"/>
      <c r="G331" s="5"/>
      <c r="H331" s="4"/>
      <c r="I331" s="19"/>
      <c r="J331" s="8"/>
      <c r="K331" s="17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</row>
    <row r="332" spans="1:53" x14ac:dyDescent="0.25">
      <c r="A332" s="5"/>
      <c r="B332" s="5"/>
      <c r="C332" s="5"/>
      <c r="D332" s="5"/>
      <c r="E332" s="5"/>
      <c r="F332" s="5"/>
      <c r="G332" s="5"/>
      <c r="H332" s="4"/>
      <c r="I332" s="19"/>
      <c r="J332" s="8"/>
      <c r="K332" s="17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</row>
    <row r="333" spans="1:53" x14ac:dyDescent="0.25">
      <c r="A333" s="5"/>
      <c r="B333" s="5"/>
      <c r="C333" s="5"/>
      <c r="D333" s="5"/>
      <c r="E333" s="5"/>
      <c r="F333" s="5"/>
      <c r="G333" s="5"/>
      <c r="H333" s="4"/>
      <c r="I333" s="19"/>
      <c r="J333" s="8"/>
      <c r="K333" s="17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</row>
    <row r="334" spans="1:53" x14ac:dyDescent="0.25">
      <c r="A334" s="5"/>
      <c r="B334" s="5"/>
      <c r="C334" s="5"/>
      <c r="D334" s="5"/>
      <c r="E334" s="5"/>
      <c r="F334" s="5"/>
      <c r="G334" s="5"/>
      <c r="H334" s="4"/>
      <c r="I334" s="19"/>
      <c r="J334" s="8"/>
      <c r="K334" s="17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</row>
    <row r="335" spans="1:53" x14ac:dyDescent="0.25">
      <c r="A335" s="5"/>
      <c r="B335" s="5"/>
      <c r="C335" s="5"/>
      <c r="D335" s="5"/>
      <c r="E335" s="5"/>
      <c r="F335" s="5"/>
      <c r="G335" s="5"/>
      <c r="H335" s="4"/>
      <c r="I335" s="19"/>
      <c r="J335" s="8"/>
      <c r="K335" s="17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</row>
    <row r="336" spans="1:53" x14ac:dyDescent="0.25">
      <c r="A336" s="5"/>
      <c r="B336" s="5"/>
      <c r="C336" s="5"/>
      <c r="D336" s="5"/>
      <c r="E336" s="5"/>
      <c r="F336" s="5"/>
      <c r="G336" s="5"/>
      <c r="H336" s="4"/>
      <c r="I336" s="19"/>
      <c r="J336" s="8"/>
      <c r="K336" s="17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</row>
    <row r="337" spans="1:53" x14ac:dyDescent="0.25">
      <c r="A337" s="5"/>
      <c r="B337" s="5"/>
      <c r="C337" s="5"/>
      <c r="D337" s="5"/>
      <c r="E337" s="5"/>
      <c r="F337" s="5"/>
      <c r="G337" s="5"/>
      <c r="H337" s="4"/>
      <c r="I337" s="19"/>
      <c r="J337" s="8"/>
      <c r="K337" s="17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</row>
    <row r="338" spans="1:53" x14ac:dyDescent="0.25">
      <c r="A338" s="5"/>
      <c r="B338" s="5"/>
      <c r="C338" s="5"/>
      <c r="D338" s="5"/>
      <c r="E338" s="5"/>
      <c r="F338" s="5"/>
      <c r="G338" s="5"/>
      <c r="H338" s="4"/>
      <c r="I338" s="19"/>
      <c r="J338" s="8"/>
      <c r="K338" s="17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</row>
    <row r="339" spans="1:53" x14ac:dyDescent="0.25">
      <c r="A339" s="5"/>
      <c r="B339" s="5"/>
      <c r="C339" s="5"/>
      <c r="D339" s="5"/>
      <c r="E339" s="5"/>
      <c r="F339" s="5"/>
      <c r="G339" s="5"/>
      <c r="H339" s="4"/>
      <c r="I339" s="19"/>
      <c r="J339" s="8"/>
      <c r="K339" s="17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</row>
    <row r="340" spans="1:53" x14ac:dyDescent="0.25">
      <c r="A340" s="5"/>
      <c r="B340" s="5"/>
      <c r="C340" s="5"/>
      <c r="D340" s="5"/>
      <c r="E340" s="5"/>
      <c r="F340" s="5"/>
      <c r="G340" s="5"/>
      <c r="H340" s="4"/>
      <c r="I340" s="19"/>
      <c r="J340" s="8"/>
      <c r="K340" s="17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</row>
    <row r="341" spans="1:53" x14ac:dyDescent="0.25">
      <c r="A341" s="5"/>
      <c r="B341" s="5"/>
      <c r="C341" s="5"/>
      <c r="D341" s="5"/>
      <c r="E341" s="5"/>
      <c r="F341" s="5"/>
      <c r="G341" s="5"/>
      <c r="H341" s="4"/>
      <c r="I341" s="19"/>
      <c r="J341" s="8"/>
      <c r="K341" s="17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</row>
    <row r="342" spans="1:53" x14ac:dyDescent="0.25">
      <c r="A342" s="5"/>
      <c r="B342" s="5"/>
      <c r="C342" s="5"/>
      <c r="D342" s="5"/>
      <c r="E342" s="5"/>
      <c r="F342" s="5"/>
      <c r="G342" s="5"/>
      <c r="H342" s="4"/>
      <c r="I342" s="19"/>
      <c r="J342" s="8"/>
      <c r="K342" s="17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</row>
    <row r="343" spans="1:53" x14ac:dyDescent="0.25">
      <c r="A343" s="5"/>
      <c r="B343" s="5"/>
      <c r="C343" s="5"/>
      <c r="D343" s="5"/>
      <c r="E343" s="5"/>
      <c r="F343" s="5"/>
      <c r="G343" s="5"/>
      <c r="H343" s="4"/>
      <c r="I343" s="19"/>
      <c r="J343" s="8"/>
      <c r="K343" s="17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</row>
    <row r="344" spans="1:53" x14ac:dyDescent="0.25">
      <c r="A344" s="5"/>
      <c r="B344" s="5"/>
      <c r="C344" s="5"/>
      <c r="D344" s="5"/>
      <c r="E344" s="5"/>
      <c r="F344" s="5"/>
      <c r="G344" s="5"/>
      <c r="H344" s="4"/>
      <c r="I344" s="19"/>
      <c r="J344" s="8"/>
      <c r="K344" s="17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</row>
    <row r="345" spans="1:53" x14ac:dyDescent="0.25">
      <c r="A345" s="5"/>
      <c r="B345" s="5"/>
      <c r="C345" s="5"/>
      <c r="D345" s="5"/>
      <c r="E345" s="5"/>
      <c r="F345" s="5"/>
      <c r="G345" s="5"/>
      <c r="H345" s="4"/>
      <c r="I345" s="19"/>
      <c r="J345" s="8"/>
      <c r="K345" s="17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</row>
    <row r="346" spans="1:53" x14ac:dyDescent="0.25">
      <c r="A346" s="5"/>
      <c r="B346" s="5"/>
      <c r="C346" s="5"/>
      <c r="D346" s="5"/>
      <c r="E346" s="5"/>
      <c r="F346" s="5"/>
      <c r="G346" s="5"/>
      <c r="H346" s="4"/>
      <c r="I346" s="19"/>
      <c r="J346" s="8"/>
      <c r="K346" s="17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</row>
    <row r="347" spans="1:53" x14ac:dyDescent="0.25">
      <c r="A347" s="5"/>
      <c r="B347" s="5"/>
      <c r="C347" s="5"/>
      <c r="D347" s="5"/>
      <c r="E347" s="5"/>
      <c r="F347" s="5"/>
      <c r="G347" s="5"/>
      <c r="H347" s="4"/>
      <c r="I347" s="19"/>
      <c r="J347" s="8"/>
      <c r="K347" s="17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</row>
    <row r="348" spans="1:53" x14ac:dyDescent="0.25">
      <c r="A348" s="5"/>
      <c r="B348" s="5"/>
      <c r="C348" s="5"/>
      <c r="D348" s="5"/>
      <c r="E348" s="5"/>
      <c r="F348" s="5"/>
      <c r="G348" s="5"/>
      <c r="H348" s="4"/>
      <c r="I348" s="19"/>
      <c r="J348" s="8"/>
      <c r="K348" s="17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</row>
    <row r="349" spans="1:53" x14ac:dyDescent="0.25">
      <c r="A349" s="5"/>
      <c r="B349" s="5"/>
      <c r="C349" s="5"/>
      <c r="D349" s="5"/>
      <c r="E349" s="5"/>
      <c r="F349" s="5"/>
      <c r="G349" s="5"/>
      <c r="H349" s="4"/>
      <c r="I349" s="19"/>
      <c r="J349" s="8"/>
      <c r="K349" s="17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</row>
    <row r="350" spans="1:53" x14ac:dyDescent="0.25">
      <c r="A350" s="5"/>
      <c r="B350" s="5"/>
      <c r="C350" s="5"/>
      <c r="D350" s="5"/>
      <c r="E350" s="5"/>
      <c r="F350" s="5"/>
      <c r="G350" s="5"/>
      <c r="H350" s="4"/>
      <c r="I350" s="19"/>
      <c r="J350" s="8"/>
      <c r="K350" s="17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</row>
    <row r="351" spans="1:53" x14ac:dyDescent="0.25">
      <c r="A351" s="5"/>
      <c r="B351" s="5"/>
      <c r="C351" s="5"/>
      <c r="D351" s="5"/>
      <c r="E351" s="5"/>
      <c r="F351" s="5"/>
      <c r="G351" s="5"/>
      <c r="H351" s="4"/>
      <c r="I351" s="19"/>
      <c r="J351" s="8"/>
      <c r="K351" s="17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</row>
    <row r="352" spans="1:53" x14ac:dyDescent="0.25">
      <c r="A352" s="5"/>
      <c r="B352" s="5"/>
      <c r="C352" s="5"/>
      <c r="D352" s="5"/>
      <c r="E352" s="5"/>
      <c r="F352" s="5"/>
      <c r="G352" s="5"/>
      <c r="H352" s="4"/>
      <c r="I352" s="19"/>
      <c r="J352" s="8"/>
      <c r="K352" s="17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</row>
    <row r="353" spans="1:53" x14ac:dyDescent="0.25">
      <c r="A353" s="5"/>
      <c r="B353" s="5"/>
      <c r="C353" s="5"/>
      <c r="D353" s="5"/>
      <c r="E353" s="5"/>
      <c r="F353" s="5"/>
      <c r="G353" s="5"/>
      <c r="H353" s="4"/>
      <c r="I353" s="19"/>
      <c r="J353" s="8"/>
      <c r="K353" s="17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</row>
    <row r="354" spans="1:53" x14ac:dyDescent="0.25">
      <c r="A354" s="5"/>
      <c r="B354" s="5"/>
      <c r="C354" s="5"/>
      <c r="D354" s="5"/>
      <c r="E354" s="5"/>
      <c r="F354" s="5"/>
      <c r="G354" s="5"/>
      <c r="H354" s="4"/>
      <c r="I354" s="19"/>
      <c r="J354" s="8"/>
      <c r="K354" s="17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</row>
    <row r="355" spans="1:53" x14ac:dyDescent="0.25">
      <c r="A355" s="5"/>
      <c r="B355" s="5"/>
      <c r="C355" s="5"/>
      <c r="D355" s="5"/>
      <c r="E355" s="5"/>
      <c r="F355" s="5"/>
      <c r="G355" s="5"/>
      <c r="H355" s="4"/>
      <c r="I355" s="19"/>
      <c r="J355" s="8"/>
      <c r="K355" s="17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</row>
    <row r="356" spans="1:53" x14ac:dyDescent="0.25">
      <c r="A356" s="5"/>
      <c r="B356" s="5"/>
      <c r="C356" s="5"/>
      <c r="D356" s="5"/>
      <c r="E356" s="5"/>
      <c r="F356" s="5"/>
      <c r="G356" s="5"/>
      <c r="H356" s="4"/>
      <c r="I356" s="19"/>
      <c r="J356" s="8"/>
      <c r="K356" s="17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</row>
    <row r="357" spans="1:53" x14ac:dyDescent="0.25">
      <c r="A357" s="5"/>
      <c r="B357" s="5"/>
      <c r="C357" s="5"/>
      <c r="D357" s="5"/>
      <c r="E357" s="5"/>
      <c r="F357" s="5"/>
      <c r="G357" s="5"/>
      <c r="H357" s="4"/>
      <c r="I357" s="19"/>
      <c r="J357" s="8"/>
      <c r="K357" s="17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</row>
    <row r="358" spans="1:53" x14ac:dyDescent="0.25">
      <c r="A358" s="5"/>
      <c r="B358" s="5"/>
      <c r="C358" s="5"/>
      <c r="D358" s="5"/>
      <c r="E358" s="5"/>
      <c r="F358" s="5"/>
      <c r="G358" s="5"/>
      <c r="H358" s="4"/>
      <c r="I358" s="19"/>
      <c r="J358" s="8"/>
      <c r="K358" s="17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</row>
    <row r="359" spans="1:53" x14ac:dyDescent="0.25">
      <c r="A359" s="5"/>
      <c r="B359" s="5"/>
      <c r="C359" s="5"/>
      <c r="D359" s="5"/>
      <c r="E359" s="5"/>
      <c r="F359" s="5"/>
      <c r="G359" s="5"/>
      <c r="H359" s="4"/>
      <c r="I359" s="19"/>
      <c r="J359" s="8"/>
      <c r="K359" s="17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</row>
    <row r="360" spans="1:53" x14ac:dyDescent="0.25">
      <c r="A360" s="5"/>
      <c r="B360" s="5"/>
      <c r="C360" s="5"/>
      <c r="D360" s="5"/>
      <c r="E360" s="5"/>
      <c r="F360" s="5"/>
      <c r="G360" s="5"/>
      <c r="H360" s="4"/>
      <c r="I360" s="19"/>
      <c r="J360" s="8"/>
      <c r="K360" s="17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</row>
    <row r="361" spans="1:53" x14ac:dyDescent="0.25">
      <c r="A361" s="5"/>
      <c r="B361" s="5"/>
      <c r="C361" s="5"/>
      <c r="D361" s="5"/>
      <c r="E361" s="5"/>
      <c r="F361" s="5"/>
      <c r="G361" s="5"/>
      <c r="H361" s="4"/>
      <c r="I361" s="19"/>
      <c r="J361" s="8"/>
      <c r="K361" s="17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</row>
    <row r="362" spans="1:53" x14ac:dyDescent="0.25">
      <c r="A362" s="5"/>
      <c r="B362" s="5"/>
      <c r="C362" s="5"/>
      <c r="D362" s="5"/>
      <c r="E362" s="5"/>
      <c r="F362" s="5"/>
      <c r="G362" s="5"/>
      <c r="H362" s="4"/>
      <c r="I362" s="19"/>
      <c r="J362" s="8"/>
      <c r="K362" s="17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</row>
    <row r="363" spans="1:53" x14ac:dyDescent="0.25">
      <c r="A363" s="5"/>
      <c r="B363" s="5"/>
      <c r="C363" s="5"/>
      <c r="D363" s="5"/>
      <c r="E363" s="5"/>
      <c r="F363" s="5"/>
      <c r="G363" s="5"/>
      <c r="H363" s="4"/>
      <c r="I363" s="19"/>
      <c r="J363" s="8"/>
      <c r="K363" s="17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</row>
    <row r="364" spans="1:53" x14ac:dyDescent="0.25">
      <c r="A364" s="5"/>
      <c r="B364" s="5"/>
      <c r="C364" s="5"/>
      <c r="D364" s="5"/>
      <c r="E364" s="5"/>
      <c r="F364" s="5"/>
      <c r="G364" s="5"/>
      <c r="H364" s="4"/>
      <c r="I364" s="19"/>
      <c r="J364" s="8"/>
      <c r="K364" s="17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</row>
    <row r="365" spans="1:53" x14ac:dyDescent="0.25">
      <c r="A365" s="5"/>
      <c r="B365" s="5"/>
      <c r="C365" s="5"/>
      <c r="D365" s="5"/>
      <c r="E365" s="5"/>
      <c r="F365" s="5"/>
      <c r="G365" s="5"/>
      <c r="H365" s="4"/>
      <c r="I365" s="19"/>
      <c r="J365" s="8"/>
      <c r="K365" s="17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</row>
    <row r="366" spans="1:53" x14ac:dyDescent="0.25">
      <c r="A366" s="5"/>
      <c r="B366" s="5"/>
      <c r="C366" s="5"/>
      <c r="D366" s="5"/>
      <c r="E366" s="5"/>
      <c r="F366" s="5"/>
      <c r="G366" s="5"/>
      <c r="H366" s="4"/>
      <c r="I366" s="19"/>
      <c r="J366" s="8"/>
      <c r="K366" s="17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</row>
    <row r="367" spans="1:53" x14ac:dyDescent="0.25">
      <c r="A367" s="5"/>
      <c r="B367" s="5"/>
      <c r="C367" s="5"/>
      <c r="D367" s="5"/>
      <c r="E367" s="5"/>
      <c r="F367" s="5"/>
      <c r="G367" s="5"/>
      <c r="H367" s="4"/>
      <c r="I367" s="19"/>
      <c r="J367" s="8"/>
      <c r="K367" s="17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</row>
    <row r="368" spans="1:53" x14ac:dyDescent="0.25">
      <c r="A368" s="5"/>
      <c r="B368" s="5"/>
      <c r="C368" s="5"/>
      <c r="D368" s="5"/>
      <c r="E368" s="5"/>
      <c r="F368" s="5"/>
      <c r="G368" s="5"/>
      <c r="H368" s="4"/>
      <c r="I368" s="19"/>
      <c r="J368" s="8"/>
      <c r="K368" s="17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</row>
    <row r="369" spans="1:53" x14ac:dyDescent="0.25">
      <c r="A369" s="5"/>
      <c r="B369" s="5"/>
      <c r="C369" s="5"/>
      <c r="D369" s="5"/>
      <c r="E369" s="5"/>
      <c r="F369" s="5"/>
      <c r="G369" s="5"/>
      <c r="H369" s="4"/>
      <c r="I369" s="19"/>
      <c r="J369" s="8"/>
      <c r="K369" s="17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</row>
    <row r="370" spans="1:53" x14ac:dyDescent="0.25">
      <c r="A370" s="5"/>
      <c r="B370" s="5"/>
      <c r="C370" s="5"/>
      <c r="D370" s="5"/>
      <c r="E370" s="5"/>
      <c r="F370" s="5"/>
      <c r="G370" s="5"/>
      <c r="H370" s="4"/>
      <c r="I370" s="19"/>
      <c r="J370" s="8"/>
      <c r="K370" s="17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</row>
    <row r="371" spans="1:53" x14ac:dyDescent="0.25">
      <c r="A371" s="5"/>
      <c r="B371" s="5"/>
      <c r="C371" s="5"/>
      <c r="D371" s="5"/>
      <c r="E371" s="5"/>
      <c r="F371" s="5"/>
      <c r="G371" s="5"/>
      <c r="H371" s="4"/>
      <c r="I371" s="19"/>
      <c r="J371" s="8"/>
      <c r="K371" s="17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</row>
    <row r="372" spans="1:53" x14ac:dyDescent="0.25">
      <c r="A372" s="5"/>
      <c r="B372" s="5"/>
      <c r="C372" s="5"/>
      <c r="D372" s="5"/>
      <c r="E372" s="5"/>
      <c r="F372" s="5"/>
      <c r="G372" s="5"/>
      <c r="H372" s="4"/>
      <c r="I372" s="19"/>
      <c r="J372" s="8"/>
      <c r="K372" s="17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</row>
    <row r="373" spans="1:53" x14ac:dyDescent="0.25">
      <c r="A373" s="5"/>
      <c r="B373" s="5"/>
      <c r="C373" s="5"/>
      <c r="D373" s="5"/>
      <c r="E373" s="5"/>
      <c r="F373" s="5"/>
      <c r="G373" s="5"/>
      <c r="H373" s="4"/>
      <c r="I373" s="19"/>
      <c r="J373" s="8"/>
      <c r="K373" s="17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</row>
    <row r="374" spans="1:53" x14ac:dyDescent="0.25">
      <c r="A374" s="5"/>
      <c r="B374" s="5"/>
      <c r="C374" s="5"/>
      <c r="D374" s="5"/>
      <c r="E374" s="5"/>
      <c r="F374" s="5"/>
      <c r="G374" s="5"/>
      <c r="H374" s="4"/>
      <c r="I374" s="19"/>
      <c r="J374" s="8"/>
      <c r="K374" s="17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</row>
    <row r="375" spans="1:53" x14ac:dyDescent="0.25">
      <c r="A375" s="5"/>
      <c r="B375" s="5"/>
      <c r="C375" s="5"/>
      <c r="D375" s="5"/>
      <c r="E375" s="5"/>
      <c r="F375" s="5"/>
      <c r="G375" s="5"/>
      <c r="H375" s="4"/>
      <c r="I375" s="19"/>
      <c r="J375" s="8"/>
      <c r="K375" s="17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</row>
    <row r="376" spans="1:53" x14ac:dyDescent="0.25">
      <c r="A376" s="5"/>
      <c r="B376" s="5"/>
      <c r="C376" s="5"/>
      <c r="D376" s="5"/>
      <c r="E376" s="5"/>
      <c r="F376" s="5"/>
      <c r="G376" s="5"/>
      <c r="H376" s="4"/>
      <c r="I376" s="19"/>
      <c r="J376" s="8"/>
      <c r="K376" s="17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</row>
    <row r="377" spans="1:53" x14ac:dyDescent="0.25">
      <c r="A377" s="5"/>
      <c r="B377" s="5"/>
      <c r="C377" s="5"/>
      <c r="D377" s="5"/>
      <c r="E377" s="5"/>
      <c r="F377" s="5"/>
      <c r="G377" s="5"/>
      <c r="H377" s="4"/>
      <c r="I377" s="19"/>
      <c r="J377" s="8"/>
      <c r="K377" s="17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</row>
    <row r="378" spans="1:53" x14ac:dyDescent="0.25">
      <c r="A378" s="5"/>
      <c r="B378" s="5"/>
      <c r="C378" s="5"/>
      <c r="D378" s="5"/>
      <c r="E378" s="5"/>
      <c r="F378" s="5"/>
      <c r="G378" s="5"/>
      <c r="H378" s="4"/>
      <c r="I378" s="19"/>
      <c r="J378" s="8"/>
      <c r="K378" s="17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</row>
    <row r="379" spans="1:53" x14ac:dyDescent="0.25">
      <c r="A379" s="5"/>
      <c r="B379" s="5"/>
      <c r="C379" s="5"/>
      <c r="D379" s="5"/>
      <c r="E379" s="5"/>
      <c r="F379" s="5"/>
      <c r="G379" s="5"/>
      <c r="H379" s="4"/>
      <c r="I379" s="19"/>
      <c r="J379" s="8"/>
      <c r="K379" s="17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</row>
    <row r="380" spans="1:53" x14ac:dyDescent="0.25">
      <c r="A380" s="5"/>
      <c r="B380" s="5"/>
      <c r="C380" s="5"/>
      <c r="D380" s="5"/>
      <c r="E380" s="5"/>
      <c r="F380" s="5"/>
      <c r="G380" s="5"/>
      <c r="H380" s="4"/>
      <c r="I380" s="19"/>
      <c r="J380" s="8"/>
      <c r="K380" s="17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</row>
    <row r="381" spans="1:53" x14ac:dyDescent="0.25">
      <c r="A381" s="5"/>
      <c r="B381" s="5"/>
      <c r="C381" s="5"/>
      <c r="D381" s="5"/>
      <c r="E381" s="5"/>
      <c r="F381" s="5"/>
      <c r="G381" s="5"/>
      <c r="H381" s="4"/>
      <c r="I381" s="19"/>
      <c r="J381" s="8"/>
      <c r="K381" s="17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</row>
    <row r="382" spans="1:53" x14ac:dyDescent="0.25">
      <c r="A382" s="5"/>
      <c r="B382" s="5"/>
      <c r="C382" s="5"/>
      <c r="D382" s="5"/>
      <c r="E382" s="5"/>
      <c r="F382" s="5"/>
      <c r="G382" s="5"/>
      <c r="H382" s="4"/>
      <c r="I382" s="19"/>
      <c r="J382" s="8"/>
      <c r="K382" s="17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</row>
    <row r="383" spans="1:53" x14ac:dyDescent="0.25">
      <c r="A383" s="5"/>
      <c r="B383" s="5"/>
      <c r="C383" s="5"/>
      <c r="D383" s="5"/>
      <c r="E383" s="5"/>
      <c r="F383" s="5"/>
      <c r="G383" s="5"/>
      <c r="H383" s="4"/>
      <c r="I383" s="19"/>
      <c r="J383" s="8"/>
      <c r="K383" s="17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</row>
    <row r="384" spans="1:53" x14ac:dyDescent="0.25">
      <c r="A384" s="5"/>
      <c r="B384" s="5"/>
      <c r="C384" s="5"/>
      <c r="D384" s="5"/>
      <c r="E384" s="5"/>
      <c r="F384" s="5"/>
      <c r="G384" s="5"/>
      <c r="H384" s="4"/>
      <c r="I384" s="19"/>
      <c r="J384" s="8"/>
      <c r="K384" s="17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</row>
    <row r="385" spans="1:53" x14ac:dyDescent="0.25">
      <c r="A385" s="5"/>
      <c r="B385" s="5"/>
      <c r="C385" s="5"/>
      <c r="D385" s="5"/>
      <c r="E385" s="5"/>
      <c r="F385" s="5"/>
      <c r="G385" s="5"/>
      <c r="H385" s="4"/>
      <c r="I385" s="19"/>
      <c r="J385" s="8"/>
      <c r="K385" s="17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</row>
    <row r="386" spans="1:53" x14ac:dyDescent="0.25">
      <c r="A386" s="5"/>
      <c r="B386" s="5"/>
      <c r="C386" s="5"/>
      <c r="D386" s="5"/>
      <c r="E386" s="5"/>
      <c r="F386" s="5"/>
      <c r="G386" s="5"/>
      <c r="H386" s="4"/>
      <c r="I386" s="19"/>
      <c r="J386" s="8"/>
      <c r="K386" s="17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</row>
    <row r="387" spans="1:53" x14ac:dyDescent="0.25">
      <c r="A387" s="5"/>
      <c r="B387" s="5"/>
      <c r="C387" s="5"/>
      <c r="D387" s="5"/>
      <c r="E387" s="5"/>
      <c r="F387" s="5"/>
      <c r="G387" s="5"/>
      <c r="H387" s="4"/>
      <c r="I387" s="19"/>
      <c r="J387" s="8"/>
      <c r="K387" s="17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</row>
    <row r="388" spans="1:53" x14ac:dyDescent="0.25">
      <c r="A388" s="5"/>
      <c r="B388" s="5"/>
      <c r="C388" s="5"/>
      <c r="D388" s="5"/>
      <c r="E388" s="5"/>
      <c r="F388" s="5"/>
      <c r="G388" s="5"/>
      <c r="H388" s="4"/>
      <c r="I388" s="19"/>
      <c r="J388" s="8"/>
      <c r="K388" s="17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</row>
    <row r="389" spans="1:53" x14ac:dyDescent="0.25">
      <c r="A389" s="5"/>
      <c r="B389" s="5"/>
      <c r="C389" s="5"/>
      <c r="D389" s="5"/>
      <c r="E389" s="5"/>
      <c r="F389" s="5"/>
      <c r="G389" s="5"/>
      <c r="H389" s="4"/>
      <c r="I389" s="19"/>
      <c r="J389" s="8"/>
      <c r="K389" s="17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</row>
    <row r="390" spans="1:53" x14ac:dyDescent="0.25">
      <c r="A390" s="5"/>
      <c r="B390" s="5"/>
      <c r="C390" s="5"/>
      <c r="D390" s="5"/>
      <c r="E390" s="5"/>
      <c r="F390" s="5"/>
      <c r="G390" s="5"/>
      <c r="H390" s="4"/>
      <c r="I390" s="19"/>
      <c r="J390" s="8"/>
      <c r="K390" s="17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</row>
    <row r="391" spans="1:53" x14ac:dyDescent="0.25">
      <c r="A391" s="5"/>
      <c r="B391" s="5"/>
      <c r="C391" s="5"/>
      <c r="D391" s="5"/>
      <c r="E391" s="5"/>
      <c r="F391" s="5"/>
      <c r="G391" s="5"/>
      <c r="H391" s="4"/>
      <c r="I391" s="19"/>
      <c r="J391" s="8"/>
      <c r="K391" s="17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</row>
    <row r="392" spans="1:53" x14ac:dyDescent="0.25">
      <c r="A392" s="5"/>
      <c r="B392" s="5"/>
      <c r="C392" s="5"/>
      <c r="D392" s="5"/>
      <c r="E392" s="5"/>
      <c r="F392" s="5"/>
      <c r="G392" s="5"/>
      <c r="H392" s="4"/>
      <c r="I392" s="19"/>
      <c r="J392" s="8"/>
      <c r="K392" s="17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</row>
    <row r="393" spans="1:53" x14ac:dyDescent="0.25">
      <c r="A393" s="5"/>
      <c r="B393" s="5"/>
      <c r="C393" s="5"/>
      <c r="D393" s="5"/>
      <c r="E393" s="5"/>
      <c r="F393" s="5"/>
      <c r="G393" s="5"/>
      <c r="H393" s="4"/>
      <c r="I393" s="19"/>
      <c r="J393" s="8"/>
      <c r="K393" s="17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</row>
    <row r="394" spans="1:53" x14ac:dyDescent="0.25">
      <c r="A394" s="5"/>
      <c r="B394" s="5"/>
      <c r="C394" s="5"/>
      <c r="D394" s="5"/>
      <c r="E394" s="5"/>
      <c r="F394" s="5"/>
      <c r="G394" s="5"/>
      <c r="H394" s="4"/>
      <c r="I394" s="19"/>
      <c r="J394" s="8"/>
      <c r="K394" s="17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</row>
    <row r="395" spans="1:53" x14ac:dyDescent="0.25">
      <c r="A395" s="5"/>
      <c r="B395" s="5"/>
      <c r="C395" s="5"/>
      <c r="D395" s="5"/>
      <c r="E395" s="5"/>
      <c r="F395" s="5"/>
      <c r="G395" s="5"/>
      <c r="H395" s="4"/>
      <c r="I395" s="19"/>
      <c r="J395" s="8"/>
      <c r="K395" s="17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</row>
    <row r="396" spans="1:53" x14ac:dyDescent="0.25">
      <c r="A396" s="5"/>
      <c r="B396" s="5"/>
      <c r="C396" s="5"/>
      <c r="D396" s="5"/>
      <c r="E396" s="5"/>
      <c r="F396" s="5"/>
      <c r="G396" s="5"/>
      <c r="H396" s="4"/>
      <c r="I396" s="19"/>
      <c r="J396" s="8"/>
      <c r="K396" s="17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</row>
    <row r="397" spans="1:53" x14ac:dyDescent="0.25">
      <c r="A397" s="5"/>
      <c r="B397" s="5"/>
      <c r="C397" s="5"/>
      <c r="D397" s="5"/>
      <c r="E397" s="5"/>
      <c r="F397" s="5"/>
      <c r="G397" s="5"/>
      <c r="H397" s="4"/>
      <c r="I397" s="19"/>
      <c r="J397" s="8"/>
      <c r="K397" s="17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</row>
    <row r="398" spans="1:53" x14ac:dyDescent="0.25">
      <c r="A398" s="5"/>
      <c r="B398" s="5"/>
      <c r="C398" s="5"/>
      <c r="D398" s="5"/>
      <c r="E398" s="5"/>
      <c r="F398" s="5"/>
      <c r="G398" s="5"/>
      <c r="H398" s="4"/>
      <c r="I398" s="19"/>
      <c r="J398" s="8"/>
      <c r="K398" s="17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</row>
    <row r="399" spans="1:53" x14ac:dyDescent="0.25">
      <c r="A399" s="5"/>
      <c r="B399" s="5"/>
      <c r="C399" s="5"/>
      <c r="D399" s="5"/>
      <c r="E399" s="5"/>
      <c r="F399" s="5"/>
      <c r="G399" s="5"/>
      <c r="H399" s="4"/>
      <c r="I399" s="19"/>
      <c r="J399" s="8"/>
      <c r="K399" s="17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</row>
    <row r="400" spans="1:53" x14ac:dyDescent="0.25">
      <c r="A400" s="5"/>
      <c r="B400" s="5"/>
      <c r="C400" s="5"/>
      <c r="D400" s="5"/>
      <c r="E400" s="5"/>
      <c r="F400" s="5"/>
      <c r="G400" s="5"/>
      <c r="H400" s="4"/>
      <c r="I400" s="19"/>
      <c r="J400" s="8"/>
      <c r="K400" s="17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</row>
    <row r="401" spans="1:53" x14ac:dyDescent="0.25">
      <c r="A401" s="5"/>
      <c r="B401" s="5"/>
      <c r="C401" s="5"/>
      <c r="D401" s="5"/>
      <c r="E401" s="5"/>
      <c r="F401" s="5"/>
      <c r="G401" s="5"/>
      <c r="H401" s="4"/>
      <c r="I401" s="19"/>
      <c r="J401" s="8"/>
      <c r="K401" s="17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</row>
    <row r="402" spans="1:53" x14ac:dyDescent="0.25">
      <c r="A402" s="5"/>
      <c r="B402" s="5"/>
      <c r="C402" s="5"/>
      <c r="D402" s="5"/>
      <c r="E402" s="5"/>
      <c r="F402" s="5"/>
      <c r="G402" s="5"/>
      <c r="H402" s="4"/>
      <c r="I402" s="19"/>
      <c r="J402" s="8"/>
      <c r="K402" s="17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</row>
    <row r="403" spans="1:53" x14ac:dyDescent="0.25">
      <c r="A403" s="5"/>
      <c r="B403" s="5"/>
      <c r="C403" s="5"/>
      <c r="D403" s="5"/>
      <c r="E403" s="5"/>
      <c r="F403" s="5"/>
      <c r="G403" s="5"/>
      <c r="H403" s="4"/>
      <c r="I403" s="19"/>
      <c r="J403" s="8"/>
      <c r="K403" s="17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</row>
    <row r="404" spans="1:53" x14ac:dyDescent="0.25">
      <c r="A404" s="5"/>
      <c r="B404" s="5"/>
      <c r="C404" s="5"/>
      <c r="D404" s="5"/>
      <c r="E404" s="5"/>
      <c r="F404" s="5"/>
      <c r="G404" s="5"/>
      <c r="H404" s="4"/>
      <c r="I404" s="19"/>
      <c r="J404" s="8"/>
      <c r="K404" s="17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</row>
    <row r="405" spans="1:53" x14ac:dyDescent="0.25">
      <c r="A405" s="5"/>
      <c r="B405" s="5"/>
      <c r="C405" s="5"/>
      <c r="D405" s="5"/>
      <c r="E405" s="5"/>
      <c r="F405" s="5"/>
      <c r="G405" s="5"/>
      <c r="H405" s="4"/>
      <c r="I405" s="19"/>
      <c r="J405" s="8"/>
      <c r="K405" s="17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</row>
    <row r="406" spans="1:53" x14ac:dyDescent="0.25">
      <c r="A406" s="5"/>
      <c r="B406" s="5"/>
      <c r="C406" s="5"/>
      <c r="D406" s="5"/>
      <c r="E406" s="5"/>
      <c r="F406" s="5"/>
      <c r="G406" s="5"/>
      <c r="H406" s="4"/>
      <c r="I406" s="19"/>
      <c r="J406" s="8"/>
      <c r="K406" s="17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</row>
    <row r="407" spans="1:53" x14ac:dyDescent="0.25">
      <c r="A407" s="5"/>
      <c r="B407" s="5"/>
      <c r="C407" s="5"/>
      <c r="D407" s="5"/>
      <c r="E407" s="5"/>
      <c r="F407" s="5"/>
      <c r="G407" s="5"/>
      <c r="H407" s="4"/>
      <c r="I407" s="19"/>
      <c r="J407" s="8"/>
      <c r="K407" s="17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</row>
    <row r="408" spans="1:53" x14ac:dyDescent="0.25">
      <c r="A408" s="5"/>
      <c r="B408" s="5"/>
      <c r="C408" s="5"/>
      <c r="D408" s="5"/>
      <c r="E408" s="5"/>
      <c r="F408" s="5"/>
      <c r="G408" s="5"/>
      <c r="H408" s="4"/>
      <c r="I408" s="19"/>
      <c r="J408" s="8"/>
      <c r="K408" s="17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</row>
    <row r="409" spans="1:53" x14ac:dyDescent="0.25">
      <c r="A409" s="5"/>
      <c r="B409" s="5"/>
      <c r="C409" s="5"/>
      <c r="D409" s="5"/>
      <c r="E409" s="5"/>
      <c r="F409" s="5"/>
      <c r="G409" s="5"/>
      <c r="H409" s="4"/>
      <c r="I409" s="19"/>
      <c r="J409" s="8"/>
      <c r="K409" s="17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</row>
    <row r="410" spans="1:53" x14ac:dyDescent="0.25">
      <c r="A410" s="5"/>
      <c r="B410" s="5"/>
      <c r="C410" s="5"/>
      <c r="D410" s="5"/>
      <c r="E410" s="5"/>
      <c r="F410" s="5"/>
      <c r="G410" s="5"/>
      <c r="H410" s="4"/>
      <c r="I410" s="19"/>
      <c r="J410" s="8"/>
      <c r="K410" s="17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</row>
    <row r="411" spans="1:53" x14ac:dyDescent="0.25">
      <c r="A411" s="5"/>
      <c r="B411" s="5"/>
      <c r="C411" s="5"/>
      <c r="D411" s="5"/>
      <c r="E411" s="5"/>
      <c r="F411" s="5"/>
      <c r="G411" s="5"/>
      <c r="H411" s="4"/>
      <c r="I411" s="19"/>
      <c r="J411" s="8"/>
      <c r="K411" s="17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</row>
    <row r="412" spans="1:53" x14ac:dyDescent="0.25">
      <c r="A412" s="5"/>
      <c r="B412" s="5"/>
      <c r="C412" s="5"/>
      <c r="D412" s="5"/>
      <c r="E412" s="5"/>
      <c r="F412" s="5"/>
      <c r="G412" s="5"/>
      <c r="H412" s="4"/>
      <c r="I412" s="19"/>
      <c r="J412" s="8"/>
      <c r="K412" s="17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</row>
    <row r="413" spans="1:53" x14ac:dyDescent="0.25">
      <c r="A413" s="5"/>
      <c r="B413" s="5"/>
      <c r="C413" s="5"/>
      <c r="D413" s="5"/>
      <c r="E413" s="5"/>
      <c r="F413" s="5"/>
      <c r="G413" s="5"/>
      <c r="H413" s="4"/>
      <c r="I413" s="19"/>
      <c r="J413" s="8"/>
      <c r="K413" s="17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</row>
    <row r="414" spans="1:53" x14ac:dyDescent="0.25">
      <c r="A414" s="5"/>
      <c r="B414" s="5"/>
      <c r="C414" s="5"/>
      <c r="D414" s="5"/>
      <c r="E414" s="5"/>
      <c r="F414" s="5"/>
      <c r="G414" s="5"/>
      <c r="H414" s="4"/>
      <c r="I414" s="19"/>
      <c r="J414" s="8"/>
      <c r="K414" s="17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</row>
    <row r="415" spans="1:53" x14ac:dyDescent="0.25">
      <c r="A415" s="5"/>
      <c r="B415" s="5"/>
      <c r="C415" s="5"/>
      <c r="D415" s="5"/>
      <c r="E415" s="5"/>
      <c r="F415" s="5"/>
      <c r="G415" s="5"/>
      <c r="H415" s="4"/>
      <c r="I415" s="19"/>
      <c r="J415" s="8"/>
      <c r="K415" s="17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</row>
    <row r="416" spans="1:53" x14ac:dyDescent="0.25">
      <c r="A416" s="5"/>
      <c r="B416" s="5"/>
      <c r="C416" s="5"/>
      <c r="D416" s="5"/>
      <c r="E416" s="5"/>
      <c r="F416" s="5"/>
      <c r="G416" s="5"/>
      <c r="H416" s="4"/>
      <c r="I416" s="19"/>
      <c r="J416" s="8"/>
      <c r="K416" s="17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</row>
    <row r="417" spans="1:53" x14ac:dyDescent="0.25">
      <c r="A417" s="5"/>
      <c r="B417" s="5"/>
      <c r="C417" s="5"/>
      <c r="D417" s="5"/>
      <c r="E417" s="5"/>
      <c r="F417" s="5"/>
      <c r="G417" s="5"/>
      <c r="H417" s="4"/>
      <c r="I417" s="19"/>
      <c r="J417" s="8"/>
      <c r="K417" s="17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</row>
    <row r="418" spans="1:53" x14ac:dyDescent="0.25">
      <c r="A418" s="5"/>
      <c r="B418" s="5"/>
      <c r="C418" s="5"/>
      <c r="D418" s="5"/>
      <c r="E418" s="5"/>
      <c r="F418" s="5"/>
      <c r="G418" s="5"/>
      <c r="H418" s="4"/>
      <c r="I418" s="19"/>
      <c r="J418" s="8"/>
      <c r="K418" s="17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</row>
    <row r="419" spans="1:53" x14ac:dyDescent="0.25">
      <c r="A419" s="5"/>
      <c r="B419" s="5"/>
      <c r="C419" s="5"/>
      <c r="D419" s="5"/>
      <c r="E419" s="5"/>
      <c r="F419" s="5"/>
      <c r="G419" s="5"/>
      <c r="H419" s="4"/>
      <c r="I419" s="19"/>
      <c r="J419" s="8"/>
      <c r="K419" s="17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</row>
    <row r="420" spans="1:53" x14ac:dyDescent="0.25">
      <c r="A420" s="5"/>
      <c r="B420" s="5"/>
      <c r="C420" s="5"/>
      <c r="D420" s="5"/>
      <c r="E420" s="5"/>
      <c r="F420" s="5"/>
      <c r="G420" s="5"/>
      <c r="H420" s="4"/>
      <c r="I420" s="19"/>
      <c r="J420" s="8"/>
      <c r="K420" s="17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</row>
    <row r="421" spans="1:53" x14ac:dyDescent="0.25">
      <c r="A421" s="5"/>
      <c r="B421" s="5"/>
      <c r="C421" s="5"/>
      <c r="D421" s="5"/>
      <c r="E421" s="5"/>
      <c r="F421" s="5"/>
      <c r="G421" s="5"/>
      <c r="H421" s="4"/>
      <c r="I421" s="19"/>
      <c r="J421" s="8"/>
      <c r="K421" s="17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</row>
    <row r="422" spans="1:53" x14ac:dyDescent="0.25">
      <c r="A422" s="5"/>
      <c r="B422" s="5"/>
      <c r="C422" s="5"/>
      <c r="D422" s="5"/>
      <c r="E422" s="5"/>
      <c r="F422" s="5"/>
      <c r="G422" s="5"/>
      <c r="H422" s="4"/>
      <c r="I422" s="19"/>
      <c r="J422" s="8"/>
      <c r="K422" s="17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</row>
    <row r="423" spans="1:53" x14ac:dyDescent="0.25">
      <c r="A423" s="5"/>
      <c r="B423" s="5"/>
      <c r="C423" s="5"/>
      <c r="D423" s="5"/>
      <c r="E423" s="5"/>
      <c r="F423" s="5"/>
      <c r="G423" s="5"/>
      <c r="H423" s="4"/>
      <c r="I423" s="19"/>
      <c r="J423" s="8"/>
      <c r="K423" s="17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</row>
    <row r="424" spans="1:53" x14ac:dyDescent="0.25">
      <c r="A424" s="5"/>
      <c r="B424" s="5"/>
      <c r="C424" s="5"/>
      <c r="D424" s="5"/>
      <c r="E424" s="5"/>
      <c r="F424" s="5"/>
      <c r="G424" s="5"/>
      <c r="H424" s="4"/>
      <c r="I424" s="19"/>
      <c r="J424" s="8"/>
      <c r="K424" s="17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</row>
    <row r="425" spans="1:53" x14ac:dyDescent="0.25">
      <c r="A425" s="5"/>
      <c r="B425" s="5"/>
      <c r="C425" s="5"/>
      <c r="D425" s="5"/>
      <c r="E425" s="5"/>
      <c r="F425" s="5"/>
      <c r="G425" s="5"/>
      <c r="H425" s="4"/>
      <c r="I425" s="19"/>
      <c r="J425" s="8"/>
      <c r="K425" s="17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</row>
    <row r="426" spans="1:53" x14ac:dyDescent="0.25">
      <c r="A426" s="5"/>
      <c r="B426" s="5"/>
      <c r="C426" s="5"/>
      <c r="D426" s="5"/>
      <c r="E426" s="5"/>
      <c r="F426" s="5"/>
      <c r="G426" s="5"/>
      <c r="H426" s="4"/>
      <c r="I426" s="19"/>
      <c r="J426" s="8"/>
      <c r="K426" s="17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</row>
    <row r="427" spans="1:53" x14ac:dyDescent="0.25">
      <c r="A427" s="5"/>
      <c r="B427" s="5"/>
      <c r="C427" s="5"/>
      <c r="D427" s="5"/>
      <c r="E427" s="5"/>
      <c r="F427" s="5"/>
      <c r="G427" s="5"/>
      <c r="H427" s="4"/>
      <c r="I427" s="19"/>
      <c r="J427" s="8"/>
      <c r="K427" s="17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</row>
    <row r="428" spans="1:53" x14ac:dyDescent="0.25">
      <c r="A428" s="5"/>
      <c r="B428" s="5"/>
      <c r="C428" s="5"/>
      <c r="D428" s="5"/>
      <c r="E428" s="5"/>
      <c r="F428" s="5"/>
      <c r="G428" s="5"/>
      <c r="H428" s="4"/>
      <c r="I428" s="19"/>
      <c r="J428" s="8"/>
      <c r="K428" s="17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</row>
    <row r="429" spans="1:53" x14ac:dyDescent="0.25">
      <c r="A429" s="5"/>
      <c r="B429" s="5"/>
      <c r="C429" s="5"/>
      <c r="D429" s="5"/>
      <c r="E429" s="5"/>
      <c r="F429" s="5"/>
      <c r="G429" s="5"/>
      <c r="H429" s="4"/>
      <c r="I429" s="19"/>
      <c r="J429" s="8"/>
      <c r="K429" s="17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</row>
    <row r="430" spans="1:53" x14ac:dyDescent="0.25">
      <c r="A430" s="5"/>
      <c r="B430" s="5"/>
      <c r="C430" s="5"/>
      <c r="D430" s="5"/>
      <c r="E430" s="5"/>
      <c r="F430" s="5"/>
      <c r="G430" s="5"/>
      <c r="H430" s="4"/>
      <c r="I430" s="19"/>
      <c r="J430" s="8"/>
      <c r="K430" s="17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</row>
    <row r="431" spans="1:53" x14ac:dyDescent="0.25">
      <c r="A431" s="5"/>
      <c r="B431" s="5"/>
      <c r="C431" s="5"/>
      <c r="D431" s="5"/>
      <c r="E431" s="5"/>
      <c r="F431" s="5"/>
      <c r="G431" s="5"/>
      <c r="H431" s="4"/>
      <c r="I431" s="19"/>
      <c r="J431" s="8"/>
      <c r="K431" s="17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</row>
    <row r="432" spans="1:53" x14ac:dyDescent="0.25">
      <c r="A432" s="5"/>
      <c r="B432" s="5"/>
      <c r="C432" s="5"/>
      <c r="D432" s="5"/>
      <c r="E432" s="5"/>
      <c r="F432" s="5"/>
      <c r="G432" s="5"/>
      <c r="H432" s="4"/>
      <c r="I432" s="19"/>
      <c r="J432" s="8"/>
      <c r="K432" s="17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</row>
    <row r="433" spans="1:53" x14ac:dyDescent="0.25">
      <c r="A433" s="5"/>
      <c r="B433" s="5"/>
      <c r="C433" s="5"/>
      <c r="D433" s="5"/>
      <c r="E433" s="5"/>
      <c r="F433" s="5"/>
      <c r="G433" s="5"/>
      <c r="H433" s="4"/>
      <c r="I433" s="19"/>
      <c r="J433" s="8"/>
      <c r="K433" s="17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</row>
  </sheetData>
  <mergeCells count="1">
    <mergeCell ref="F4:G4"/>
  </mergeCells>
  <conditionalFormatting sqref="I7">
    <cfRule type="containsText" dxfId="65" priority="33" operator="containsText" text="INVALID MARK">
      <formula>NOT(ISERROR(SEARCH("INVALID MARK",I7)))</formula>
    </cfRule>
    <cfRule type="containsText" dxfId="64" priority="34" operator="containsText" text="INVALID ENTRY">
      <formula>NOT(ISERROR(SEARCH("INVALID ENTRY",I7)))</formula>
    </cfRule>
    <cfRule type="containsText" dxfId="63" priority="35" operator="containsText" text="MISSING MARK">
      <formula>NOT(ISERROR(SEARCH("MISSING MARK",I7)))</formula>
    </cfRule>
  </conditionalFormatting>
  <conditionalFormatting sqref="D7">
    <cfRule type="containsText" dxfId="62" priority="31" operator="containsText" text="FAIL">
      <formula>NOT(ISERROR(SEARCH("FAIL",D7)))</formula>
    </cfRule>
    <cfRule type="containsText" dxfId="61" priority="32" operator="containsText" text="PASS">
      <formula>NOT(ISERROR(SEARCH("PASS",D7)))</formula>
    </cfRule>
  </conditionalFormatting>
  <conditionalFormatting sqref="I8:I10">
    <cfRule type="containsText" dxfId="60" priority="28" operator="containsText" text="INVALID MARK">
      <formula>NOT(ISERROR(SEARCH("INVALID MARK",I8)))</formula>
    </cfRule>
    <cfRule type="containsText" dxfId="59" priority="29" operator="containsText" text="INVALID ENTRY">
      <formula>NOT(ISERROR(SEARCH("INVALID ENTRY",I8)))</formula>
    </cfRule>
    <cfRule type="containsText" dxfId="58" priority="30" operator="containsText" text="MISSING MARK">
      <formula>NOT(ISERROR(SEARCH("MISSING MARK",I8)))</formula>
    </cfRule>
  </conditionalFormatting>
  <conditionalFormatting sqref="D8:D10">
    <cfRule type="containsText" dxfId="57" priority="26" operator="containsText" text="FAIL">
      <formula>NOT(ISERROR(SEARCH("FAIL",D8)))</formula>
    </cfRule>
    <cfRule type="containsText" dxfId="56" priority="27" operator="containsText" text="PASS">
      <formula>NOT(ISERROR(SEARCH("PASS",D8)))</formula>
    </cfRule>
  </conditionalFormatting>
  <conditionalFormatting sqref="I11:I15">
    <cfRule type="containsText" dxfId="55" priority="23" operator="containsText" text="INVALID MARK">
      <formula>NOT(ISERROR(SEARCH("INVALID MARK",I11)))</formula>
    </cfRule>
    <cfRule type="containsText" dxfId="54" priority="24" operator="containsText" text="INVALID ENTRY">
      <formula>NOT(ISERROR(SEARCH("INVALID ENTRY",I11)))</formula>
    </cfRule>
    <cfRule type="containsText" dxfId="53" priority="25" operator="containsText" text="MISSING MARK">
      <formula>NOT(ISERROR(SEARCH("MISSING MARK",I11)))</formula>
    </cfRule>
  </conditionalFormatting>
  <conditionalFormatting sqref="D11:D15">
    <cfRule type="containsText" dxfId="52" priority="21" operator="containsText" text="FAIL">
      <formula>NOT(ISERROR(SEARCH("FAIL",D11)))</formula>
    </cfRule>
    <cfRule type="containsText" dxfId="51" priority="22" operator="containsText" text="PASS">
      <formula>NOT(ISERROR(SEARCH("PASS",D11)))</formula>
    </cfRule>
  </conditionalFormatting>
  <conditionalFormatting sqref="I16">
    <cfRule type="containsText" dxfId="50" priority="18" operator="containsText" text="INVALID MARK">
      <formula>NOT(ISERROR(SEARCH("INVALID MARK",I16)))</formula>
    </cfRule>
    <cfRule type="containsText" dxfId="49" priority="19" operator="containsText" text="INVALID ENTRY">
      <formula>NOT(ISERROR(SEARCH("INVALID ENTRY",I16)))</formula>
    </cfRule>
    <cfRule type="containsText" dxfId="48" priority="20" operator="containsText" text="MISSING MARK">
      <formula>NOT(ISERROR(SEARCH("MISSING MARK",I16)))</formula>
    </cfRule>
  </conditionalFormatting>
  <conditionalFormatting sqref="D16">
    <cfRule type="containsText" dxfId="47" priority="16" operator="containsText" text="FAIL">
      <formula>NOT(ISERROR(SEARCH("FAIL",D16)))</formula>
    </cfRule>
    <cfRule type="containsText" dxfId="46" priority="17" operator="containsText" text="PASS">
      <formula>NOT(ISERROR(SEARCH("PASS",D16)))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433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4</v>
      </c>
      <c r="E3" s="5"/>
      <c r="F3" s="7" t="s">
        <v>75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31" t="s">
        <v>76</v>
      </c>
      <c r="G4" s="131"/>
      <c r="H4" s="4"/>
      <c r="I4" s="19"/>
      <c r="J4" s="8"/>
      <c r="K4" s="95" t="s">
        <v>73</v>
      </c>
      <c r="L4" s="92" t="s">
        <v>74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56</v>
      </c>
      <c r="M5" s="86" t="s">
        <v>57</v>
      </c>
      <c r="N5" s="86" t="s">
        <v>58</v>
      </c>
      <c r="O5" s="86" t="s">
        <v>59</v>
      </c>
      <c r="P5" s="86" t="s">
        <v>60</v>
      </c>
      <c r="Q5" s="86" t="s">
        <v>61</v>
      </c>
      <c r="R5" s="86" t="s">
        <v>62</v>
      </c>
      <c r="S5" s="86" t="s">
        <v>63</v>
      </c>
      <c r="T5" s="86" t="s">
        <v>64</v>
      </c>
      <c r="U5" s="86" t="s">
        <v>65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50</v>
      </c>
      <c r="J6" s="79"/>
      <c r="K6" s="80">
        <f t="shared" ref="K6" si="0">SUM(L6:U6)</f>
        <v>50</v>
      </c>
      <c r="L6" s="81">
        <v>50</v>
      </c>
      <c r="M6" s="81"/>
      <c r="N6" s="81"/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0.66</v>
      </c>
      <c r="I7" s="20">
        <f>IF(ISOVERMAX(L7:U7),"INVALID MARK",IF(COUNT(L7:U7)=COUNT(L$6:U$6),IFERROR(H7*K$6,),IF(COUNT(L7:U7)&lt;COUNT(L$6:U$6),"MISSING MARK","INVALID ENTRY")))</f>
        <v>33</v>
      </c>
      <c r="J7" s="28">
        <v>0</v>
      </c>
      <c r="K7" s="24">
        <f t="shared" ref="K7:K10" si="2">SUM(L7:U7)</f>
        <v>33</v>
      </c>
      <c r="L7" s="9">
        <v>33</v>
      </c>
      <c r="M7" s="9"/>
      <c r="N7" s="9"/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0.92</v>
      </c>
      <c r="I8" s="20">
        <f>IF(ISOVERMAX(L8:U8),"INVALID MARK",IF(COUNT(L8:U8)=COUNT(L$6:U$6),IFERROR(H8*K$6,),IF(COUNT(L8:U8)&lt;COUNT(L$6:U$6),"MISSING MARK","INVALID ENTRY")))</f>
        <v>46</v>
      </c>
      <c r="J8" s="28">
        <v>0</v>
      </c>
      <c r="K8" s="24">
        <f t="shared" si="2"/>
        <v>46</v>
      </c>
      <c r="L8" s="9">
        <v>46</v>
      </c>
      <c r="M8" s="9"/>
      <c r="N8" s="9"/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0.32</v>
      </c>
      <c r="I9" s="20">
        <f>IF(ISOVERMAX(L9:U9),"INVALID MARK",IF(COUNT(L9:U9)=COUNT(L$6:U$6),IFERROR(H9*K$6,),IF(COUNT(L9:U9)&lt;COUNT(L$6:U$6),"MISSING MARK","INVALID ENTRY")))</f>
        <v>16</v>
      </c>
      <c r="J9" s="28">
        <v>0</v>
      </c>
      <c r="K9" s="24">
        <f t="shared" si="2"/>
        <v>16</v>
      </c>
      <c r="L9" s="9">
        <v>16</v>
      </c>
      <c r="M9" s="9"/>
      <c r="N9" s="9"/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0.6</v>
      </c>
      <c r="I10" s="20">
        <f>IF(ISOVERMAX(L10:U10),"INVALID MARK",IF(COUNT(L10:U10)=COUNT(L$6:U$6),IFERROR(H10*K$6,),IF(COUNT(L10:U10)&lt;COUNT(L$6:U$6),"MISSING MARK","INVALID ENTRY")))</f>
        <v>30</v>
      </c>
      <c r="J10" s="28">
        <v>0</v>
      </c>
      <c r="K10" s="24">
        <f t="shared" si="2"/>
        <v>30</v>
      </c>
      <c r="L10" s="9">
        <v>30</v>
      </c>
      <c r="M10" s="9"/>
      <c r="N10" s="9"/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0.7</v>
      </c>
      <c r="I11" s="20">
        <f>IF(ISOVERMAX(L11:U11),"INVALID MARK",IF(COUNT(L11:U11)=COUNT(L$6:U$6),IFERROR(H11*K$6,),IF(COUNT(L11:U11)&lt;COUNT(L$6:U$6),"MISSING MARK","INVALID ENTRY")))</f>
        <v>35</v>
      </c>
      <c r="J11" s="28">
        <v>0</v>
      </c>
      <c r="K11" s="24">
        <f t="shared" ref="K11:K15" si="6">SUM(L11:U11)</f>
        <v>35</v>
      </c>
      <c r="L11" s="9">
        <v>35</v>
      </c>
      <c r="M11" s="9"/>
      <c r="N11" s="9"/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0.34</v>
      </c>
      <c r="I12" s="20">
        <f>IF(ISOVERMAX(L12:U12),"INVALID MARK",IF(COUNT(L12:U12)=COUNT(L$6:U$6),IFERROR(H12*K$6,),IF(COUNT(L12:U12)&lt;COUNT(L$6:U$6),"MISSING MARK","INVALID ENTRY")))</f>
        <v>17</v>
      </c>
      <c r="J12" s="28">
        <v>0</v>
      </c>
      <c r="K12" s="24">
        <f t="shared" si="6"/>
        <v>17</v>
      </c>
      <c r="L12" s="9">
        <v>17</v>
      </c>
      <c r="M12" s="9"/>
      <c r="N12" s="9"/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0.94</v>
      </c>
      <c r="I13" s="20">
        <f>IF(ISOVERMAX(L13:U13),"INVALID MARK",IF(COUNT(L13:U13)=COUNT(L$6:U$6),IFERROR(H13*K$6,),IF(COUNT(L13:U13)&lt;COUNT(L$6:U$6),"MISSING MARK","INVALID ENTRY")))</f>
        <v>47</v>
      </c>
      <c r="J13" s="28">
        <v>0</v>
      </c>
      <c r="K13" s="24">
        <f t="shared" si="6"/>
        <v>47</v>
      </c>
      <c r="L13" s="9">
        <v>47</v>
      </c>
      <c r="M13" s="9"/>
      <c r="N13" s="9"/>
      <c r="O13" s="9"/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0.62</v>
      </c>
      <c r="I14" s="20">
        <f>IF(ISOVERMAX(L14:U14),"INVALID MARK",IF(COUNT(L14:U14)=COUNT(L$6:U$6),IFERROR(H14*K$6,),IF(COUNT(L14:U14)&lt;COUNT(L$6:U$6),"MISSING MARK","INVALID ENTRY")))</f>
        <v>31</v>
      </c>
      <c r="J14" s="28">
        <v>0.1</v>
      </c>
      <c r="K14" s="24">
        <f t="shared" si="6"/>
        <v>36</v>
      </c>
      <c r="L14" s="9">
        <v>36</v>
      </c>
      <c r="M14" s="9"/>
      <c r="N14" s="9"/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0.9</v>
      </c>
      <c r="I15" s="20">
        <f>IF(ISOVERMAX(L15:U15),"INVALID MARK",IF(COUNT(L15:U15)=COUNT(L$6:U$6),IFERROR(H15*K$6,),IF(COUNT(L15:U15)&lt;COUNT(L$6:U$6),"MISSING MARK","INVALID ENTRY")))</f>
        <v>45</v>
      </c>
      <c r="J15" s="28">
        <v>0</v>
      </c>
      <c r="K15" s="24">
        <f t="shared" si="6"/>
        <v>45</v>
      </c>
      <c r="L15" s="9">
        <v>45</v>
      </c>
      <c r="M15" s="9"/>
      <c r="N15" s="9"/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0.72</v>
      </c>
      <c r="I16" s="20">
        <f>IF(ISOVERMAX(L16:U16),"INVALID MARK",IF(COUNT(L16:U16)=COUNT(L$6:U$6),IFERROR(H16*K$6,),IF(COUNT(L16:U16)&lt;COUNT(L$6:U$6),"MISSING MARK","INVALID ENTRY")))</f>
        <v>36</v>
      </c>
      <c r="J16" s="28">
        <v>0</v>
      </c>
      <c r="K16" s="24">
        <f t="shared" ref="K16" si="9">SUM(L16:U16)</f>
        <v>36</v>
      </c>
      <c r="L16" s="9">
        <v>36</v>
      </c>
      <c r="M16" s="9"/>
      <c r="N16" s="9"/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5"/>
      <c r="E17" s="5"/>
      <c r="F17" s="5"/>
      <c r="G17" s="5"/>
      <c r="H17" s="4"/>
      <c r="I17" s="19"/>
      <c r="J17" s="8"/>
      <c r="K17" s="17"/>
      <c r="L17" s="9"/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  <row r="311" spans="1:53" x14ac:dyDescent="0.25">
      <c r="A311" s="5"/>
      <c r="B311" s="5"/>
      <c r="C311" s="5"/>
      <c r="D311" s="5"/>
      <c r="E311" s="5"/>
      <c r="F311" s="5"/>
      <c r="G311" s="5"/>
      <c r="H311" s="4"/>
      <c r="I311" s="19"/>
      <c r="J311" s="8"/>
      <c r="K311" s="17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</row>
    <row r="312" spans="1:53" x14ac:dyDescent="0.25">
      <c r="A312" s="5"/>
      <c r="B312" s="5"/>
      <c r="C312" s="5"/>
      <c r="D312" s="5"/>
      <c r="E312" s="5"/>
      <c r="F312" s="5"/>
      <c r="G312" s="5"/>
      <c r="H312" s="4"/>
      <c r="I312" s="19"/>
      <c r="J312" s="8"/>
      <c r="K312" s="17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</row>
    <row r="313" spans="1:53" x14ac:dyDescent="0.25">
      <c r="A313" s="5"/>
      <c r="B313" s="5"/>
      <c r="C313" s="5"/>
      <c r="D313" s="5"/>
      <c r="E313" s="5"/>
      <c r="F313" s="5"/>
      <c r="G313" s="5"/>
      <c r="H313" s="4"/>
      <c r="I313" s="19"/>
      <c r="J313" s="8"/>
      <c r="K313" s="17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</row>
    <row r="314" spans="1:53" x14ac:dyDescent="0.25">
      <c r="A314" s="5"/>
      <c r="B314" s="5"/>
      <c r="C314" s="5"/>
      <c r="D314" s="5"/>
      <c r="E314" s="5"/>
      <c r="F314" s="5"/>
      <c r="G314" s="5"/>
      <c r="H314" s="4"/>
      <c r="I314" s="19"/>
      <c r="J314" s="8"/>
      <c r="K314" s="17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</row>
    <row r="315" spans="1:53" x14ac:dyDescent="0.25">
      <c r="A315" s="5"/>
      <c r="B315" s="5"/>
      <c r="C315" s="5"/>
      <c r="D315" s="5"/>
      <c r="E315" s="5"/>
      <c r="F315" s="5"/>
      <c r="G315" s="5"/>
      <c r="H315" s="4"/>
      <c r="I315" s="19"/>
      <c r="J315" s="8"/>
      <c r="K315" s="17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</row>
    <row r="316" spans="1:53" x14ac:dyDescent="0.25">
      <c r="A316" s="5"/>
      <c r="B316" s="5"/>
      <c r="C316" s="5"/>
      <c r="D316" s="5"/>
      <c r="E316" s="5"/>
      <c r="F316" s="5"/>
      <c r="G316" s="5"/>
      <c r="H316" s="4"/>
      <c r="I316" s="19"/>
      <c r="J316" s="8"/>
      <c r="K316" s="17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</row>
    <row r="317" spans="1:53" x14ac:dyDescent="0.25">
      <c r="A317" s="5"/>
      <c r="B317" s="5"/>
      <c r="C317" s="5"/>
      <c r="D317" s="5"/>
      <c r="E317" s="5"/>
      <c r="F317" s="5"/>
      <c r="G317" s="5"/>
      <c r="H317" s="4"/>
      <c r="I317" s="19"/>
      <c r="J317" s="8"/>
      <c r="K317" s="17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</row>
    <row r="318" spans="1:53" x14ac:dyDescent="0.25">
      <c r="A318" s="5"/>
      <c r="B318" s="5"/>
      <c r="C318" s="5"/>
      <c r="D318" s="5"/>
      <c r="E318" s="5"/>
      <c r="F318" s="5"/>
      <c r="G318" s="5"/>
      <c r="H318" s="4"/>
      <c r="I318" s="19"/>
      <c r="J318" s="8"/>
      <c r="K318" s="17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</row>
    <row r="319" spans="1:53" x14ac:dyDescent="0.25">
      <c r="A319" s="5"/>
      <c r="B319" s="5"/>
      <c r="C319" s="5"/>
      <c r="D319" s="5"/>
      <c r="E319" s="5"/>
      <c r="F319" s="5"/>
      <c r="G319" s="5"/>
      <c r="H319" s="4"/>
      <c r="I319" s="19"/>
      <c r="J319" s="8"/>
      <c r="K319" s="17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</row>
    <row r="320" spans="1:53" x14ac:dyDescent="0.25">
      <c r="A320" s="5"/>
      <c r="B320" s="5"/>
      <c r="C320" s="5"/>
      <c r="D320" s="5"/>
      <c r="E320" s="5"/>
      <c r="F320" s="5"/>
      <c r="G320" s="5"/>
      <c r="H320" s="4"/>
      <c r="I320" s="19"/>
      <c r="J320" s="8"/>
      <c r="K320" s="17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</row>
    <row r="321" spans="1:53" x14ac:dyDescent="0.25">
      <c r="A321" s="5"/>
      <c r="B321" s="5"/>
      <c r="C321" s="5"/>
      <c r="D321" s="5"/>
      <c r="E321" s="5"/>
      <c r="F321" s="5"/>
      <c r="G321" s="5"/>
      <c r="H321" s="4"/>
      <c r="I321" s="19"/>
      <c r="J321" s="8"/>
      <c r="K321" s="17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</row>
    <row r="322" spans="1:53" x14ac:dyDescent="0.25">
      <c r="A322" s="5"/>
      <c r="B322" s="5"/>
      <c r="C322" s="5"/>
      <c r="D322" s="5"/>
      <c r="E322" s="5"/>
      <c r="F322" s="5"/>
      <c r="G322" s="5"/>
      <c r="H322" s="4"/>
      <c r="I322" s="19"/>
      <c r="J322" s="8"/>
      <c r="K322" s="17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</row>
    <row r="323" spans="1:53" x14ac:dyDescent="0.25">
      <c r="A323" s="5"/>
      <c r="B323" s="5"/>
      <c r="C323" s="5"/>
      <c r="D323" s="5"/>
      <c r="E323" s="5"/>
      <c r="F323" s="5"/>
      <c r="G323" s="5"/>
      <c r="H323" s="4"/>
      <c r="I323" s="19"/>
      <c r="J323" s="8"/>
      <c r="K323" s="17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</row>
    <row r="324" spans="1:53" x14ac:dyDescent="0.25">
      <c r="A324" s="5"/>
      <c r="B324" s="5"/>
      <c r="C324" s="5"/>
      <c r="D324" s="5"/>
      <c r="E324" s="5"/>
      <c r="F324" s="5"/>
      <c r="G324" s="5"/>
      <c r="H324" s="4"/>
      <c r="I324" s="19"/>
      <c r="J324" s="8"/>
      <c r="K324" s="17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</row>
    <row r="325" spans="1:53" x14ac:dyDescent="0.25">
      <c r="A325" s="5"/>
      <c r="B325" s="5"/>
      <c r="C325" s="5"/>
      <c r="D325" s="5"/>
      <c r="E325" s="5"/>
      <c r="F325" s="5"/>
      <c r="G325" s="5"/>
      <c r="H325" s="4"/>
      <c r="I325" s="19"/>
      <c r="J325" s="8"/>
      <c r="K325" s="17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</row>
    <row r="326" spans="1:53" x14ac:dyDescent="0.25">
      <c r="A326" s="5"/>
      <c r="B326" s="5"/>
      <c r="C326" s="5"/>
      <c r="D326" s="5"/>
      <c r="E326" s="5"/>
      <c r="F326" s="5"/>
      <c r="G326" s="5"/>
      <c r="H326" s="4"/>
      <c r="I326" s="19"/>
      <c r="J326" s="8"/>
      <c r="K326" s="17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</row>
    <row r="327" spans="1:53" x14ac:dyDescent="0.25">
      <c r="A327" s="5"/>
      <c r="B327" s="5"/>
      <c r="C327" s="5"/>
      <c r="D327" s="5"/>
      <c r="E327" s="5"/>
      <c r="F327" s="5"/>
      <c r="G327" s="5"/>
      <c r="H327" s="4"/>
      <c r="I327" s="19"/>
      <c r="J327" s="8"/>
      <c r="K327" s="17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</row>
    <row r="328" spans="1:53" x14ac:dyDescent="0.25">
      <c r="A328" s="5"/>
      <c r="B328" s="5"/>
      <c r="C328" s="5"/>
      <c r="D328" s="5"/>
      <c r="E328" s="5"/>
      <c r="F328" s="5"/>
      <c r="G328" s="5"/>
      <c r="H328" s="4"/>
      <c r="I328" s="19"/>
      <c r="J328" s="8"/>
      <c r="K328" s="17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</row>
    <row r="329" spans="1:53" x14ac:dyDescent="0.25">
      <c r="A329" s="5"/>
      <c r="B329" s="5"/>
      <c r="C329" s="5"/>
      <c r="D329" s="5"/>
      <c r="E329" s="5"/>
      <c r="F329" s="5"/>
      <c r="G329" s="5"/>
      <c r="H329" s="4"/>
      <c r="I329" s="19"/>
      <c r="J329" s="8"/>
      <c r="K329" s="17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</row>
    <row r="330" spans="1:53" x14ac:dyDescent="0.25">
      <c r="A330" s="5"/>
      <c r="B330" s="5"/>
      <c r="C330" s="5"/>
      <c r="D330" s="5"/>
      <c r="E330" s="5"/>
      <c r="F330" s="5"/>
      <c r="G330" s="5"/>
      <c r="H330" s="4"/>
      <c r="I330" s="19"/>
      <c r="J330" s="8"/>
      <c r="K330" s="17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</row>
    <row r="331" spans="1:53" x14ac:dyDescent="0.25">
      <c r="A331" s="5"/>
      <c r="B331" s="5"/>
      <c r="C331" s="5"/>
      <c r="D331" s="5"/>
      <c r="E331" s="5"/>
      <c r="F331" s="5"/>
      <c r="G331" s="5"/>
      <c r="H331" s="4"/>
      <c r="I331" s="19"/>
      <c r="J331" s="8"/>
      <c r="K331" s="17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</row>
    <row r="332" spans="1:53" x14ac:dyDescent="0.25">
      <c r="A332" s="5"/>
      <c r="B332" s="5"/>
      <c r="C332" s="5"/>
      <c r="D332" s="5"/>
      <c r="E332" s="5"/>
      <c r="F332" s="5"/>
      <c r="G332" s="5"/>
      <c r="H332" s="4"/>
      <c r="I332" s="19"/>
      <c r="J332" s="8"/>
      <c r="K332" s="17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</row>
    <row r="333" spans="1:53" x14ac:dyDescent="0.25">
      <c r="A333" s="5"/>
      <c r="B333" s="5"/>
      <c r="C333" s="5"/>
      <c r="D333" s="5"/>
      <c r="E333" s="5"/>
      <c r="F333" s="5"/>
      <c r="G333" s="5"/>
      <c r="H333" s="4"/>
      <c r="I333" s="19"/>
      <c r="J333" s="8"/>
      <c r="K333" s="17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</row>
    <row r="334" spans="1:53" x14ac:dyDescent="0.25">
      <c r="A334" s="5"/>
      <c r="B334" s="5"/>
      <c r="C334" s="5"/>
      <c r="D334" s="5"/>
      <c r="E334" s="5"/>
      <c r="F334" s="5"/>
      <c r="G334" s="5"/>
      <c r="H334" s="4"/>
      <c r="I334" s="19"/>
      <c r="J334" s="8"/>
      <c r="K334" s="17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</row>
    <row r="335" spans="1:53" x14ac:dyDescent="0.25">
      <c r="A335" s="5"/>
      <c r="B335" s="5"/>
      <c r="C335" s="5"/>
      <c r="D335" s="5"/>
      <c r="E335" s="5"/>
      <c r="F335" s="5"/>
      <c r="G335" s="5"/>
      <c r="H335" s="4"/>
      <c r="I335" s="19"/>
      <c r="J335" s="8"/>
      <c r="K335" s="17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</row>
    <row r="336" spans="1:53" x14ac:dyDescent="0.25">
      <c r="A336" s="5"/>
      <c r="B336" s="5"/>
      <c r="C336" s="5"/>
      <c r="D336" s="5"/>
      <c r="E336" s="5"/>
      <c r="F336" s="5"/>
      <c r="G336" s="5"/>
      <c r="H336" s="4"/>
      <c r="I336" s="19"/>
      <c r="J336" s="8"/>
      <c r="K336" s="17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</row>
    <row r="337" spans="1:53" x14ac:dyDescent="0.25">
      <c r="A337" s="5"/>
      <c r="B337" s="5"/>
      <c r="C337" s="5"/>
      <c r="D337" s="5"/>
      <c r="E337" s="5"/>
      <c r="F337" s="5"/>
      <c r="G337" s="5"/>
      <c r="H337" s="4"/>
      <c r="I337" s="19"/>
      <c r="J337" s="8"/>
      <c r="K337" s="17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</row>
    <row r="338" spans="1:53" x14ac:dyDescent="0.25">
      <c r="A338" s="5"/>
      <c r="B338" s="5"/>
      <c r="C338" s="5"/>
      <c r="D338" s="5"/>
      <c r="E338" s="5"/>
      <c r="F338" s="5"/>
      <c r="G338" s="5"/>
      <c r="H338" s="4"/>
      <c r="I338" s="19"/>
      <c r="J338" s="8"/>
      <c r="K338" s="17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</row>
    <row r="339" spans="1:53" x14ac:dyDescent="0.25">
      <c r="A339" s="5"/>
      <c r="B339" s="5"/>
      <c r="C339" s="5"/>
      <c r="D339" s="5"/>
      <c r="E339" s="5"/>
      <c r="F339" s="5"/>
      <c r="G339" s="5"/>
      <c r="H339" s="4"/>
      <c r="I339" s="19"/>
      <c r="J339" s="8"/>
      <c r="K339" s="17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</row>
    <row r="340" spans="1:53" x14ac:dyDescent="0.25">
      <c r="A340" s="5"/>
      <c r="B340" s="5"/>
      <c r="C340" s="5"/>
      <c r="D340" s="5"/>
      <c r="E340" s="5"/>
      <c r="F340" s="5"/>
      <c r="G340" s="5"/>
      <c r="H340" s="4"/>
      <c r="I340" s="19"/>
      <c r="J340" s="8"/>
      <c r="K340" s="17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</row>
    <row r="341" spans="1:53" x14ac:dyDescent="0.25">
      <c r="A341" s="5"/>
      <c r="B341" s="5"/>
      <c r="C341" s="5"/>
      <c r="D341" s="5"/>
      <c r="E341" s="5"/>
      <c r="F341" s="5"/>
      <c r="G341" s="5"/>
      <c r="H341" s="4"/>
      <c r="I341" s="19"/>
      <c r="J341" s="8"/>
      <c r="K341" s="17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</row>
    <row r="342" spans="1:53" x14ac:dyDescent="0.25">
      <c r="A342" s="5"/>
      <c r="B342" s="5"/>
      <c r="C342" s="5"/>
      <c r="D342" s="5"/>
      <c r="E342" s="5"/>
      <c r="F342" s="5"/>
      <c r="G342" s="5"/>
      <c r="H342" s="4"/>
      <c r="I342" s="19"/>
      <c r="J342" s="8"/>
      <c r="K342" s="17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</row>
    <row r="343" spans="1:53" x14ac:dyDescent="0.25">
      <c r="A343" s="5"/>
      <c r="B343" s="5"/>
      <c r="C343" s="5"/>
      <c r="D343" s="5"/>
      <c r="E343" s="5"/>
      <c r="F343" s="5"/>
      <c r="G343" s="5"/>
      <c r="H343" s="4"/>
      <c r="I343" s="19"/>
      <c r="J343" s="8"/>
      <c r="K343" s="17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</row>
    <row r="344" spans="1:53" x14ac:dyDescent="0.25">
      <c r="A344" s="5"/>
      <c r="B344" s="5"/>
      <c r="C344" s="5"/>
      <c r="D344" s="5"/>
      <c r="E344" s="5"/>
      <c r="F344" s="5"/>
      <c r="G344" s="5"/>
      <c r="H344" s="4"/>
      <c r="I344" s="19"/>
      <c r="J344" s="8"/>
      <c r="K344" s="17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</row>
    <row r="345" spans="1:53" x14ac:dyDescent="0.25">
      <c r="A345" s="5"/>
      <c r="B345" s="5"/>
      <c r="C345" s="5"/>
      <c r="D345" s="5"/>
      <c r="E345" s="5"/>
      <c r="F345" s="5"/>
      <c r="G345" s="5"/>
      <c r="H345" s="4"/>
      <c r="I345" s="19"/>
      <c r="J345" s="8"/>
      <c r="K345" s="17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</row>
    <row r="346" spans="1:53" x14ac:dyDescent="0.25">
      <c r="A346" s="5"/>
      <c r="B346" s="5"/>
      <c r="C346" s="5"/>
      <c r="D346" s="5"/>
      <c r="E346" s="5"/>
      <c r="F346" s="5"/>
      <c r="G346" s="5"/>
      <c r="H346" s="4"/>
      <c r="I346" s="19"/>
      <c r="J346" s="8"/>
      <c r="K346" s="17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</row>
    <row r="347" spans="1:53" x14ac:dyDescent="0.25">
      <c r="A347" s="5"/>
      <c r="B347" s="5"/>
      <c r="C347" s="5"/>
      <c r="D347" s="5"/>
      <c r="E347" s="5"/>
      <c r="F347" s="5"/>
      <c r="G347" s="5"/>
      <c r="H347" s="4"/>
      <c r="I347" s="19"/>
      <c r="J347" s="8"/>
      <c r="K347" s="17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</row>
    <row r="348" spans="1:53" x14ac:dyDescent="0.25">
      <c r="A348" s="5"/>
      <c r="B348" s="5"/>
      <c r="C348" s="5"/>
      <c r="D348" s="5"/>
      <c r="E348" s="5"/>
      <c r="F348" s="5"/>
      <c r="G348" s="5"/>
      <c r="H348" s="4"/>
      <c r="I348" s="19"/>
      <c r="J348" s="8"/>
      <c r="K348" s="17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</row>
    <row r="349" spans="1:53" x14ac:dyDescent="0.25">
      <c r="A349" s="5"/>
      <c r="B349" s="5"/>
      <c r="C349" s="5"/>
      <c r="D349" s="5"/>
      <c r="E349" s="5"/>
      <c r="F349" s="5"/>
      <c r="G349" s="5"/>
      <c r="H349" s="4"/>
      <c r="I349" s="19"/>
      <c r="J349" s="8"/>
      <c r="K349" s="17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</row>
    <row r="350" spans="1:53" x14ac:dyDescent="0.25">
      <c r="A350" s="5"/>
      <c r="B350" s="5"/>
      <c r="C350" s="5"/>
      <c r="D350" s="5"/>
      <c r="E350" s="5"/>
      <c r="F350" s="5"/>
      <c r="G350" s="5"/>
      <c r="H350" s="4"/>
      <c r="I350" s="19"/>
      <c r="J350" s="8"/>
      <c r="K350" s="17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</row>
    <row r="351" spans="1:53" x14ac:dyDescent="0.25">
      <c r="A351" s="5"/>
      <c r="B351" s="5"/>
      <c r="C351" s="5"/>
      <c r="D351" s="5"/>
      <c r="E351" s="5"/>
      <c r="F351" s="5"/>
      <c r="G351" s="5"/>
      <c r="H351" s="4"/>
      <c r="I351" s="19"/>
      <c r="J351" s="8"/>
      <c r="K351" s="17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</row>
    <row r="352" spans="1:53" x14ac:dyDescent="0.25">
      <c r="A352" s="5"/>
      <c r="B352" s="5"/>
      <c r="C352" s="5"/>
      <c r="D352" s="5"/>
      <c r="E352" s="5"/>
      <c r="F352" s="5"/>
      <c r="G352" s="5"/>
      <c r="H352" s="4"/>
      <c r="I352" s="19"/>
      <c r="J352" s="8"/>
      <c r="K352" s="17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</row>
    <row r="353" spans="1:53" x14ac:dyDescent="0.25">
      <c r="A353" s="5"/>
      <c r="B353" s="5"/>
      <c r="C353" s="5"/>
      <c r="D353" s="5"/>
      <c r="E353" s="5"/>
      <c r="F353" s="5"/>
      <c r="G353" s="5"/>
      <c r="H353" s="4"/>
      <c r="I353" s="19"/>
      <c r="J353" s="8"/>
      <c r="K353" s="17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</row>
    <row r="354" spans="1:53" x14ac:dyDescent="0.25">
      <c r="A354" s="5"/>
      <c r="B354" s="5"/>
      <c r="C354" s="5"/>
      <c r="D354" s="5"/>
      <c r="E354" s="5"/>
      <c r="F354" s="5"/>
      <c r="G354" s="5"/>
      <c r="H354" s="4"/>
      <c r="I354" s="19"/>
      <c r="J354" s="8"/>
      <c r="K354" s="17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</row>
    <row r="355" spans="1:53" x14ac:dyDescent="0.25">
      <c r="A355" s="5"/>
      <c r="B355" s="5"/>
      <c r="C355" s="5"/>
      <c r="D355" s="5"/>
      <c r="E355" s="5"/>
      <c r="F355" s="5"/>
      <c r="G355" s="5"/>
      <c r="H355" s="4"/>
      <c r="I355" s="19"/>
      <c r="J355" s="8"/>
      <c r="K355" s="17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</row>
    <row r="356" spans="1:53" x14ac:dyDescent="0.25">
      <c r="A356" s="5"/>
      <c r="B356" s="5"/>
      <c r="C356" s="5"/>
      <c r="D356" s="5"/>
      <c r="E356" s="5"/>
      <c r="F356" s="5"/>
      <c r="G356" s="5"/>
      <c r="H356" s="4"/>
      <c r="I356" s="19"/>
      <c r="J356" s="8"/>
      <c r="K356" s="17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</row>
    <row r="357" spans="1:53" x14ac:dyDescent="0.25">
      <c r="A357" s="5"/>
      <c r="B357" s="5"/>
      <c r="C357" s="5"/>
      <c r="D357" s="5"/>
      <c r="E357" s="5"/>
      <c r="F357" s="5"/>
      <c r="G357" s="5"/>
      <c r="H357" s="4"/>
      <c r="I357" s="19"/>
      <c r="J357" s="8"/>
      <c r="K357" s="17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</row>
    <row r="358" spans="1:53" x14ac:dyDescent="0.25">
      <c r="A358" s="5"/>
      <c r="B358" s="5"/>
      <c r="C358" s="5"/>
      <c r="D358" s="5"/>
      <c r="E358" s="5"/>
      <c r="F358" s="5"/>
      <c r="G358" s="5"/>
      <c r="H358" s="4"/>
      <c r="I358" s="19"/>
      <c r="J358" s="8"/>
      <c r="K358" s="17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</row>
    <row r="359" spans="1:53" x14ac:dyDescent="0.25">
      <c r="A359" s="5"/>
      <c r="B359" s="5"/>
      <c r="C359" s="5"/>
      <c r="D359" s="5"/>
      <c r="E359" s="5"/>
      <c r="F359" s="5"/>
      <c r="G359" s="5"/>
      <c r="H359" s="4"/>
      <c r="I359" s="19"/>
      <c r="J359" s="8"/>
      <c r="K359" s="17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</row>
    <row r="360" spans="1:53" x14ac:dyDescent="0.25">
      <c r="A360" s="5"/>
      <c r="B360" s="5"/>
      <c r="C360" s="5"/>
      <c r="D360" s="5"/>
      <c r="E360" s="5"/>
      <c r="F360" s="5"/>
      <c r="G360" s="5"/>
      <c r="H360" s="4"/>
      <c r="I360" s="19"/>
      <c r="J360" s="8"/>
      <c r="K360" s="17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</row>
    <row r="361" spans="1:53" x14ac:dyDescent="0.25">
      <c r="A361" s="5"/>
      <c r="B361" s="5"/>
      <c r="C361" s="5"/>
      <c r="D361" s="5"/>
      <c r="E361" s="5"/>
      <c r="F361" s="5"/>
      <c r="G361" s="5"/>
      <c r="H361" s="4"/>
      <c r="I361" s="19"/>
      <c r="J361" s="8"/>
      <c r="K361" s="17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</row>
    <row r="362" spans="1:53" x14ac:dyDescent="0.25">
      <c r="A362" s="5"/>
      <c r="B362" s="5"/>
      <c r="C362" s="5"/>
      <c r="D362" s="5"/>
      <c r="E362" s="5"/>
      <c r="F362" s="5"/>
      <c r="G362" s="5"/>
      <c r="H362" s="4"/>
      <c r="I362" s="19"/>
      <c r="J362" s="8"/>
      <c r="K362" s="17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</row>
    <row r="363" spans="1:53" x14ac:dyDescent="0.25">
      <c r="A363" s="5"/>
      <c r="B363" s="5"/>
      <c r="C363" s="5"/>
      <c r="D363" s="5"/>
      <c r="E363" s="5"/>
      <c r="F363" s="5"/>
      <c r="G363" s="5"/>
      <c r="H363" s="4"/>
      <c r="I363" s="19"/>
      <c r="J363" s="8"/>
      <c r="K363" s="17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</row>
    <row r="364" spans="1:53" x14ac:dyDescent="0.25">
      <c r="A364" s="5"/>
      <c r="B364" s="5"/>
      <c r="C364" s="5"/>
      <c r="D364" s="5"/>
      <c r="E364" s="5"/>
      <c r="F364" s="5"/>
      <c r="G364" s="5"/>
      <c r="H364" s="4"/>
      <c r="I364" s="19"/>
      <c r="J364" s="8"/>
      <c r="K364" s="17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</row>
    <row r="365" spans="1:53" x14ac:dyDescent="0.25">
      <c r="A365" s="5"/>
      <c r="B365" s="5"/>
      <c r="C365" s="5"/>
      <c r="D365" s="5"/>
      <c r="E365" s="5"/>
      <c r="F365" s="5"/>
      <c r="G365" s="5"/>
      <c r="H365" s="4"/>
      <c r="I365" s="19"/>
      <c r="J365" s="8"/>
      <c r="K365" s="17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</row>
    <row r="366" spans="1:53" x14ac:dyDescent="0.25">
      <c r="A366" s="5"/>
      <c r="B366" s="5"/>
      <c r="C366" s="5"/>
      <c r="D366" s="5"/>
      <c r="E366" s="5"/>
      <c r="F366" s="5"/>
      <c r="G366" s="5"/>
      <c r="H366" s="4"/>
      <c r="I366" s="19"/>
      <c r="J366" s="8"/>
      <c r="K366" s="17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</row>
    <row r="367" spans="1:53" x14ac:dyDescent="0.25">
      <c r="A367" s="5"/>
      <c r="B367" s="5"/>
      <c r="C367" s="5"/>
      <c r="D367" s="5"/>
      <c r="E367" s="5"/>
      <c r="F367" s="5"/>
      <c r="G367" s="5"/>
      <c r="H367" s="4"/>
      <c r="I367" s="19"/>
      <c r="J367" s="8"/>
      <c r="K367" s="17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</row>
    <row r="368" spans="1:53" x14ac:dyDescent="0.25">
      <c r="A368" s="5"/>
      <c r="B368" s="5"/>
      <c r="C368" s="5"/>
      <c r="D368" s="5"/>
      <c r="E368" s="5"/>
      <c r="F368" s="5"/>
      <c r="G368" s="5"/>
      <c r="H368" s="4"/>
      <c r="I368" s="19"/>
      <c r="J368" s="8"/>
      <c r="K368" s="17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</row>
    <row r="369" spans="1:53" x14ac:dyDescent="0.25">
      <c r="A369" s="5"/>
      <c r="B369" s="5"/>
      <c r="C369" s="5"/>
      <c r="D369" s="5"/>
      <c r="E369" s="5"/>
      <c r="F369" s="5"/>
      <c r="G369" s="5"/>
      <c r="H369" s="4"/>
      <c r="I369" s="19"/>
      <c r="J369" s="8"/>
      <c r="K369" s="17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</row>
    <row r="370" spans="1:53" x14ac:dyDescent="0.25">
      <c r="A370" s="5"/>
      <c r="B370" s="5"/>
      <c r="C370" s="5"/>
      <c r="D370" s="5"/>
      <c r="E370" s="5"/>
      <c r="F370" s="5"/>
      <c r="G370" s="5"/>
      <c r="H370" s="4"/>
      <c r="I370" s="19"/>
      <c r="J370" s="8"/>
      <c r="K370" s="17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</row>
    <row r="371" spans="1:53" x14ac:dyDescent="0.25">
      <c r="A371" s="5"/>
      <c r="B371" s="5"/>
      <c r="C371" s="5"/>
      <c r="D371" s="5"/>
      <c r="E371" s="5"/>
      <c r="F371" s="5"/>
      <c r="G371" s="5"/>
      <c r="H371" s="4"/>
      <c r="I371" s="19"/>
      <c r="J371" s="8"/>
      <c r="K371" s="17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</row>
    <row r="372" spans="1:53" x14ac:dyDescent="0.25">
      <c r="A372" s="5"/>
      <c r="B372" s="5"/>
      <c r="C372" s="5"/>
      <c r="D372" s="5"/>
      <c r="E372" s="5"/>
      <c r="F372" s="5"/>
      <c r="G372" s="5"/>
      <c r="H372" s="4"/>
      <c r="I372" s="19"/>
      <c r="J372" s="8"/>
      <c r="K372" s="17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</row>
    <row r="373" spans="1:53" x14ac:dyDescent="0.25">
      <c r="A373" s="5"/>
      <c r="B373" s="5"/>
      <c r="C373" s="5"/>
      <c r="D373" s="5"/>
      <c r="E373" s="5"/>
      <c r="F373" s="5"/>
      <c r="G373" s="5"/>
      <c r="H373" s="4"/>
      <c r="I373" s="19"/>
      <c r="J373" s="8"/>
      <c r="K373" s="17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</row>
    <row r="374" spans="1:53" x14ac:dyDescent="0.25">
      <c r="A374" s="5"/>
      <c r="B374" s="5"/>
      <c r="C374" s="5"/>
      <c r="D374" s="5"/>
      <c r="E374" s="5"/>
      <c r="F374" s="5"/>
      <c r="G374" s="5"/>
      <c r="H374" s="4"/>
      <c r="I374" s="19"/>
      <c r="J374" s="8"/>
      <c r="K374" s="17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</row>
    <row r="375" spans="1:53" x14ac:dyDescent="0.25">
      <c r="A375" s="5"/>
      <c r="B375" s="5"/>
      <c r="C375" s="5"/>
      <c r="D375" s="5"/>
      <c r="E375" s="5"/>
      <c r="F375" s="5"/>
      <c r="G375" s="5"/>
      <c r="H375" s="4"/>
      <c r="I375" s="19"/>
      <c r="J375" s="8"/>
      <c r="K375" s="17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</row>
    <row r="376" spans="1:53" x14ac:dyDescent="0.25">
      <c r="A376" s="5"/>
      <c r="B376" s="5"/>
      <c r="C376" s="5"/>
      <c r="D376" s="5"/>
      <c r="E376" s="5"/>
      <c r="F376" s="5"/>
      <c r="G376" s="5"/>
      <c r="H376" s="4"/>
      <c r="I376" s="19"/>
      <c r="J376" s="8"/>
      <c r="K376" s="17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</row>
    <row r="377" spans="1:53" x14ac:dyDescent="0.25">
      <c r="A377" s="5"/>
      <c r="B377" s="5"/>
      <c r="C377" s="5"/>
      <c r="D377" s="5"/>
      <c r="E377" s="5"/>
      <c r="F377" s="5"/>
      <c r="G377" s="5"/>
      <c r="H377" s="4"/>
      <c r="I377" s="19"/>
      <c r="J377" s="8"/>
      <c r="K377" s="17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</row>
    <row r="378" spans="1:53" x14ac:dyDescent="0.25">
      <c r="A378" s="5"/>
      <c r="B378" s="5"/>
      <c r="C378" s="5"/>
      <c r="D378" s="5"/>
      <c r="E378" s="5"/>
      <c r="F378" s="5"/>
      <c r="G378" s="5"/>
      <c r="H378" s="4"/>
      <c r="I378" s="19"/>
      <c r="J378" s="8"/>
      <c r="K378" s="17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</row>
    <row r="379" spans="1:53" x14ac:dyDescent="0.25">
      <c r="A379" s="5"/>
      <c r="B379" s="5"/>
      <c r="C379" s="5"/>
      <c r="D379" s="5"/>
      <c r="E379" s="5"/>
      <c r="F379" s="5"/>
      <c r="G379" s="5"/>
      <c r="H379" s="4"/>
      <c r="I379" s="19"/>
      <c r="J379" s="8"/>
      <c r="K379" s="17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</row>
    <row r="380" spans="1:53" x14ac:dyDescent="0.25">
      <c r="A380" s="5"/>
      <c r="B380" s="5"/>
      <c r="C380" s="5"/>
      <c r="D380" s="5"/>
      <c r="E380" s="5"/>
      <c r="F380" s="5"/>
      <c r="G380" s="5"/>
      <c r="H380" s="4"/>
      <c r="I380" s="19"/>
      <c r="J380" s="8"/>
      <c r="K380" s="17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</row>
    <row r="381" spans="1:53" x14ac:dyDescent="0.25">
      <c r="A381" s="5"/>
      <c r="B381" s="5"/>
      <c r="C381" s="5"/>
      <c r="D381" s="5"/>
      <c r="E381" s="5"/>
      <c r="F381" s="5"/>
      <c r="G381" s="5"/>
      <c r="H381" s="4"/>
      <c r="I381" s="19"/>
      <c r="J381" s="8"/>
      <c r="K381" s="17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</row>
    <row r="382" spans="1:53" x14ac:dyDescent="0.25">
      <c r="A382" s="5"/>
      <c r="B382" s="5"/>
      <c r="C382" s="5"/>
      <c r="D382" s="5"/>
      <c r="E382" s="5"/>
      <c r="F382" s="5"/>
      <c r="G382" s="5"/>
      <c r="H382" s="4"/>
      <c r="I382" s="19"/>
      <c r="J382" s="8"/>
      <c r="K382" s="17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</row>
    <row r="383" spans="1:53" x14ac:dyDescent="0.25">
      <c r="A383" s="5"/>
      <c r="B383" s="5"/>
      <c r="C383" s="5"/>
      <c r="D383" s="5"/>
      <c r="E383" s="5"/>
      <c r="F383" s="5"/>
      <c r="G383" s="5"/>
      <c r="H383" s="4"/>
      <c r="I383" s="19"/>
      <c r="J383" s="8"/>
      <c r="K383" s="17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</row>
    <row r="384" spans="1:53" x14ac:dyDescent="0.25">
      <c r="A384" s="5"/>
      <c r="B384" s="5"/>
      <c r="C384" s="5"/>
      <c r="D384" s="5"/>
      <c r="E384" s="5"/>
      <c r="F384" s="5"/>
      <c r="G384" s="5"/>
      <c r="H384" s="4"/>
      <c r="I384" s="19"/>
      <c r="J384" s="8"/>
      <c r="K384" s="17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</row>
    <row r="385" spans="1:53" x14ac:dyDescent="0.25">
      <c r="A385" s="5"/>
      <c r="B385" s="5"/>
      <c r="C385" s="5"/>
      <c r="D385" s="5"/>
      <c r="E385" s="5"/>
      <c r="F385" s="5"/>
      <c r="G385" s="5"/>
      <c r="H385" s="4"/>
      <c r="I385" s="19"/>
      <c r="J385" s="8"/>
      <c r="K385" s="17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</row>
    <row r="386" spans="1:53" x14ac:dyDescent="0.25">
      <c r="A386" s="5"/>
      <c r="B386" s="5"/>
      <c r="C386" s="5"/>
      <c r="D386" s="5"/>
      <c r="E386" s="5"/>
      <c r="F386" s="5"/>
      <c r="G386" s="5"/>
      <c r="H386" s="4"/>
      <c r="I386" s="19"/>
      <c r="J386" s="8"/>
      <c r="K386" s="17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</row>
    <row r="387" spans="1:53" x14ac:dyDescent="0.25">
      <c r="A387" s="5"/>
      <c r="B387" s="5"/>
      <c r="C387" s="5"/>
      <c r="D387" s="5"/>
      <c r="E387" s="5"/>
      <c r="F387" s="5"/>
      <c r="G387" s="5"/>
      <c r="H387" s="4"/>
      <c r="I387" s="19"/>
      <c r="J387" s="8"/>
      <c r="K387" s="17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</row>
    <row r="388" spans="1:53" x14ac:dyDescent="0.25">
      <c r="A388" s="5"/>
      <c r="B388" s="5"/>
      <c r="C388" s="5"/>
      <c r="D388" s="5"/>
      <c r="E388" s="5"/>
      <c r="F388" s="5"/>
      <c r="G388" s="5"/>
      <c r="H388" s="4"/>
      <c r="I388" s="19"/>
      <c r="J388" s="8"/>
      <c r="K388" s="17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</row>
    <row r="389" spans="1:53" x14ac:dyDescent="0.25">
      <c r="A389" s="5"/>
      <c r="B389" s="5"/>
      <c r="C389" s="5"/>
      <c r="D389" s="5"/>
      <c r="E389" s="5"/>
      <c r="F389" s="5"/>
      <c r="G389" s="5"/>
      <c r="H389" s="4"/>
      <c r="I389" s="19"/>
      <c r="J389" s="8"/>
      <c r="K389" s="17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</row>
    <row r="390" spans="1:53" x14ac:dyDescent="0.25">
      <c r="A390" s="5"/>
      <c r="B390" s="5"/>
      <c r="C390" s="5"/>
      <c r="D390" s="5"/>
      <c r="E390" s="5"/>
      <c r="F390" s="5"/>
      <c r="G390" s="5"/>
      <c r="H390" s="4"/>
      <c r="I390" s="19"/>
      <c r="J390" s="8"/>
      <c r="K390" s="17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</row>
    <row r="391" spans="1:53" x14ac:dyDescent="0.25">
      <c r="A391" s="5"/>
      <c r="B391" s="5"/>
      <c r="C391" s="5"/>
      <c r="D391" s="5"/>
      <c r="E391" s="5"/>
      <c r="F391" s="5"/>
      <c r="G391" s="5"/>
      <c r="H391" s="4"/>
      <c r="I391" s="19"/>
      <c r="J391" s="8"/>
      <c r="K391" s="17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</row>
    <row r="392" spans="1:53" x14ac:dyDescent="0.25">
      <c r="A392" s="5"/>
      <c r="B392" s="5"/>
      <c r="C392" s="5"/>
      <c r="D392" s="5"/>
      <c r="E392" s="5"/>
      <c r="F392" s="5"/>
      <c r="G392" s="5"/>
      <c r="H392" s="4"/>
      <c r="I392" s="19"/>
      <c r="J392" s="8"/>
      <c r="K392" s="17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</row>
    <row r="393" spans="1:53" x14ac:dyDescent="0.25">
      <c r="A393" s="5"/>
      <c r="B393" s="5"/>
      <c r="C393" s="5"/>
      <c r="D393" s="5"/>
      <c r="E393" s="5"/>
      <c r="F393" s="5"/>
      <c r="G393" s="5"/>
      <c r="H393" s="4"/>
      <c r="I393" s="19"/>
      <c r="J393" s="8"/>
      <c r="K393" s="17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</row>
    <row r="394" spans="1:53" x14ac:dyDescent="0.25">
      <c r="A394" s="5"/>
      <c r="B394" s="5"/>
      <c r="C394" s="5"/>
      <c r="D394" s="5"/>
      <c r="E394" s="5"/>
      <c r="F394" s="5"/>
      <c r="G394" s="5"/>
      <c r="H394" s="4"/>
      <c r="I394" s="19"/>
      <c r="J394" s="8"/>
      <c r="K394" s="17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</row>
    <row r="395" spans="1:53" x14ac:dyDescent="0.25">
      <c r="A395" s="5"/>
      <c r="B395" s="5"/>
      <c r="C395" s="5"/>
      <c r="D395" s="5"/>
      <c r="E395" s="5"/>
      <c r="F395" s="5"/>
      <c r="G395" s="5"/>
      <c r="H395" s="4"/>
      <c r="I395" s="19"/>
      <c r="J395" s="8"/>
      <c r="K395" s="17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</row>
    <row r="396" spans="1:53" x14ac:dyDescent="0.25">
      <c r="A396" s="5"/>
      <c r="B396" s="5"/>
      <c r="C396" s="5"/>
      <c r="D396" s="5"/>
      <c r="E396" s="5"/>
      <c r="F396" s="5"/>
      <c r="G396" s="5"/>
      <c r="H396" s="4"/>
      <c r="I396" s="19"/>
      <c r="J396" s="8"/>
      <c r="K396" s="17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</row>
    <row r="397" spans="1:53" x14ac:dyDescent="0.25">
      <c r="A397" s="5"/>
      <c r="B397" s="5"/>
      <c r="C397" s="5"/>
      <c r="D397" s="5"/>
      <c r="E397" s="5"/>
      <c r="F397" s="5"/>
      <c r="G397" s="5"/>
      <c r="H397" s="4"/>
      <c r="I397" s="19"/>
      <c r="J397" s="8"/>
      <c r="K397" s="17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</row>
    <row r="398" spans="1:53" x14ac:dyDescent="0.25">
      <c r="A398" s="5"/>
      <c r="B398" s="5"/>
      <c r="C398" s="5"/>
      <c r="D398" s="5"/>
      <c r="E398" s="5"/>
      <c r="F398" s="5"/>
      <c r="G398" s="5"/>
      <c r="H398" s="4"/>
      <c r="I398" s="19"/>
      <c r="J398" s="8"/>
      <c r="K398" s="17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</row>
    <row r="399" spans="1:53" x14ac:dyDescent="0.25">
      <c r="A399" s="5"/>
      <c r="B399" s="5"/>
      <c r="C399" s="5"/>
      <c r="D399" s="5"/>
      <c r="E399" s="5"/>
      <c r="F399" s="5"/>
      <c r="G399" s="5"/>
      <c r="H399" s="4"/>
      <c r="I399" s="19"/>
      <c r="J399" s="8"/>
      <c r="K399" s="17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</row>
    <row r="400" spans="1:53" x14ac:dyDescent="0.25">
      <c r="A400" s="5"/>
      <c r="B400" s="5"/>
      <c r="C400" s="5"/>
      <c r="D400" s="5"/>
      <c r="E400" s="5"/>
      <c r="F400" s="5"/>
      <c r="G400" s="5"/>
      <c r="H400" s="4"/>
      <c r="I400" s="19"/>
      <c r="J400" s="8"/>
      <c r="K400" s="17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</row>
    <row r="401" spans="1:53" x14ac:dyDescent="0.25">
      <c r="A401" s="5"/>
      <c r="B401" s="5"/>
      <c r="C401" s="5"/>
      <c r="D401" s="5"/>
      <c r="E401" s="5"/>
      <c r="F401" s="5"/>
      <c r="G401" s="5"/>
      <c r="H401" s="4"/>
      <c r="I401" s="19"/>
      <c r="J401" s="8"/>
      <c r="K401" s="17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</row>
    <row r="402" spans="1:53" x14ac:dyDescent="0.25">
      <c r="A402" s="5"/>
      <c r="B402" s="5"/>
      <c r="C402" s="5"/>
      <c r="D402" s="5"/>
      <c r="E402" s="5"/>
      <c r="F402" s="5"/>
      <c r="G402" s="5"/>
      <c r="H402" s="4"/>
      <c r="I402" s="19"/>
      <c r="J402" s="8"/>
      <c r="K402" s="17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</row>
    <row r="403" spans="1:53" x14ac:dyDescent="0.25">
      <c r="A403" s="5"/>
      <c r="B403" s="5"/>
      <c r="C403" s="5"/>
      <c r="D403" s="5"/>
      <c r="E403" s="5"/>
      <c r="F403" s="5"/>
      <c r="G403" s="5"/>
      <c r="H403" s="4"/>
      <c r="I403" s="19"/>
      <c r="J403" s="8"/>
      <c r="K403" s="17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</row>
    <row r="404" spans="1:53" x14ac:dyDescent="0.25">
      <c r="A404" s="5"/>
      <c r="B404" s="5"/>
      <c r="C404" s="5"/>
      <c r="D404" s="5"/>
      <c r="E404" s="5"/>
      <c r="F404" s="5"/>
      <c r="G404" s="5"/>
      <c r="H404" s="4"/>
      <c r="I404" s="19"/>
      <c r="J404" s="8"/>
      <c r="K404" s="17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</row>
    <row r="405" spans="1:53" x14ac:dyDescent="0.25">
      <c r="A405" s="5"/>
      <c r="B405" s="5"/>
      <c r="C405" s="5"/>
      <c r="D405" s="5"/>
      <c r="E405" s="5"/>
      <c r="F405" s="5"/>
      <c r="G405" s="5"/>
      <c r="H405" s="4"/>
      <c r="I405" s="19"/>
      <c r="J405" s="8"/>
      <c r="K405" s="17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</row>
    <row r="406" spans="1:53" x14ac:dyDescent="0.25">
      <c r="A406" s="5"/>
      <c r="B406" s="5"/>
      <c r="C406" s="5"/>
      <c r="D406" s="5"/>
      <c r="E406" s="5"/>
      <c r="F406" s="5"/>
      <c r="G406" s="5"/>
      <c r="H406" s="4"/>
      <c r="I406" s="19"/>
      <c r="J406" s="8"/>
      <c r="K406" s="17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</row>
    <row r="407" spans="1:53" x14ac:dyDescent="0.25">
      <c r="A407" s="5"/>
      <c r="B407" s="5"/>
      <c r="C407" s="5"/>
      <c r="D407" s="5"/>
      <c r="E407" s="5"/>
      <c r="F407" s="5"/>
      <c r="G407" s="5"/>
      <c r="H407" s="4"/>
      <c r="I407" s="19"/>
      <c r="J407" s="8"/>
      <c r="K407" s="17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</row>
    <row r="408" spans="1:53" x14ac:dyDescent="0.25">
      <c r="A408" s="5"/>
      <c r="B408" s="5"/>
      <c r="C408" s="5"/>
      <c r="D408" s="5"/>
      <c r="E408" s="5"/>
      <c r="F408" s="5"/>
      <c r="G408" s="5"/>
      <c r="H408" s="4"/>
      <c r="I408" s="19"/>
      <c r="J408" s="8"/>
      <c r="K408" s="17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</row>
    <row r="409" spans="1:53" x14ac:dyDescent="0.25">
      <c r="A409" s="5"/>
      <c r="B409" s="5"/>
      <c r="C409" s="5"/>
      <c r="D409" s="5"/>
      <c r="E409" s="5"/>
      <c r="F409" s="5"/>
      <c r="G409" s="5"/>
      <c r="H409" s="4"/>
      <c r="I409" s="19"/>
      <c r="J409" s="8"/>
      <c r="K409" s="17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</row>
    <row r="410" spans="1:53" x14ac:dyDescent="0.25">
      <c r="A410" s="5"/>
      <c r="B410" s="5"/>
      <c r="C410" s="5"/>
      <c r="D410" s="5"/>
      <c r="E410" s="5"/>
      <c r="F410" s="5"/>
      <c r="G410" s="5"/>
      <c r="H410" s="4"/>
      <c r="I410" s="19"/>
      <c r="J410" s="8"/>
      <c r="K410" s="17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</row>
    <row r="411" spans="1:53" x14ac:dyDescent="0.25">
      <c r="A411" s="5"/>
      <c r="B411" s="5"/>
      <c r="C411" s="5"/>
      <c r="D411" s="5"/>
      <c r="E411" s="5"/>
      <c r="F411" s="5"/>
      <c r="G411" s="5"/>
      <c r="H411" s="4"/>
      <c r="I411" s="19"/>
      <c r="J411" s="8"/>
      <c r="K411" s="17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</row>
    <row r="412" spans="1:53" x14ac:dyDescent="0.25">
      <c r="A412" s="5"/>
      <c r="B412" s="5"/>
      <c r="C412" s="5"/>
      <c r="D412" s="5"/>
      <c r="E412" s="5"/>
      <c r="F412" s="5"/>
      <c r="G412" s="5"/>
      <c r="H412" s="4"/>
      <c r="I412" s="19"/>
      <c r="J412" s="8"/>
      <c r="K412" s="17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</row>
    <row r="413" spans="1:53" x14ac:dyDescent="0.25">
      <c r="A413" s="5"/>
      <c r="B413" s="5"/>
      <c r="C413" s="5"/>
      <c r="D413" s="5"/>
      <c r="E413" s="5"/>
      <c r="F413" s="5"/>
      <c r="G413" s="5"/>
      <c r="H413" s="4"/>
      <c r="I413" s="19"/>
      <c r="J413" s="8"/>
      <c r="K413" s="17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</row>
    <row r="414" spans="1:53" x14ac:dyDescent="0.25">
      <c r="A414" s="5"/>
      <c r="B414" s="5"/>
      <c r="C414" s="5"/>
      <c r="D414" s="5"/>
      <c r="E414" s="5"/>
      <c r="F414" s="5"/>
      <c r="G414" s="5"/>
      <c r="H414" s="4"/>
      <c r="I414" s="19"/>
      <c r="J414" s="8"/>
      <c r="K414" s="17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</row>
    <row r="415" spans="1:53" x14ac:dyDescent="0.25">
      <c r="A415" s="5"/>
      <c r="B415" s="5"/>
      <c r="C415" s="5"/>
      <c r="D415" s="5"/>
      <c r="E415" s="5"/>
      <c r="F415" s="5"/>
      <c r="G415" s="5"/>
      <c r="H415" s="4"/>
      <c r="I415" s="19"/>
      <c r="J415" s="8"/>
      <c r="K415" s="17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</row>
    <row r="416" spans="1:53" x14ac:dyDescent="0.25">
      <c r="A416" s="5"/>
      <c r="B416" s="5"/>
      <c r="C416" s="5"/>
      <c r="D416" s="5"/>
      <c r="E416" s="5"/>
      <c r="F416" s="5"/>
      <c r="G416" s="5"/>
      <c r="H416" s="4"/>
      <c r="I416" s="19"/>
      <c r="J416" s="8"/>
      <c r="K416" s="17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</row>
    <row r="417" spans="1:53" x14ac:dyDescent="0.25">
      <c r="A417" s="5"/>
      <c r="B417" s="5"/>
      <c r="C417" s="5"/>
      <c r="D417" s="5"/>
      <c r="E417" s="5"/>
      <c r="F417" s="5"/>
      <c r="G417" s="5"/>
      <c r="H417" s="4"/>
      <c r="I417" s="19"/>
      <c r="J417" s="8"/>
      <c r="K417" s="17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</row>
    <row r="418" spans="1:53" x14ac:dyDescent="0.25">
      <c r="A418" s="5"/>
      <c r="B418" s="5"/>
      <c r="C418" s="5"/>
      <c r="D418" s="5"/>
      <c r="E418" s="5"/>
      <c r="F418" s="5"/>
      <c r="G418" s="5"/>
      <c r="H418" s="4"/>
      <c r="I418" s="19"/>
      <c r="J418" s="8"/>
      <c r="K418" s="17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</row>
    <row r="419" spans="1:53" x14ac:dyDescent="0.25">
      <c r="A419" s="5"/>
      <c r="B419" s="5"/>
      <c r="C419" s="5"/>
      <c r="D419" s="5"/>
      <c r="E419" s="5"/>
      <c r="F419" s="5"/>
      <c r="G419" s="5"/>
      <c r="H419" s="4"/>
      <c r="I419" s="19"/>
      <c r="J419" s="8"/>
      <c r="K419" s="17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</row>
    <row r="420" spans="1:53" x14ac:dyDescent="0.25">
      <c r="A420" s="5"/>
      <c r="B420" s="5"/>
      <c r="C420" s="5"/>
      <c r="D420" s="5"/>
      <c r="E420" s="5"/>
      <c r="F420" s="5"/>
      <c r="G420" s="5"/>
      <c r="H420" s="4"/>
      <c r="I420" s="19"/>
      <c r="J420" s="8"/>
      <c r="K420" s="17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</row>
    <row r="421" spans="1:53" x14ac:dyDescent="0.25">
      <c r="A421" s="5"/>
      <c r="B421" s="5"/>
      <c r="C421" s="5"/>
      <c r="D421" s="5"/>
      <c r="E421" s="5"/>
      <c r="F421" s="5"/>
      <c r="G421" s="5"/>
      <c r="H421" s="4"/>
      <c r="I421" s="19"/>
      <c r="J421" s="8"/>
      <c r="K421" s="17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</row>
    <row r="422" spans="1:53" x14ac:dyDescent="0.25">
      <c r="A422" s="5"/>
      <c r="B422" s="5"/>
      <c r="C422" s="5"/>
      <c r="D422" s="5"/>
      <c r="E422" s="5"/>
      <c r="F422" s="5"/>
      <c r="G422" s="5"/>
      <c r="H422" s="4"/>
      <c r="I422" s="19"/>
      <c r="J422" s="8"/>
      <c r="K422" s="17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</row>
    <row r="423" spans="1:53" x14ac:dyDescent="0.25">
      <c r="A423" s="5"/>
      <c r="B423" s="5"/>
      <c r="C423" s="5"/>
      <c r="D423" s="5"/>
      <c r="E423" s="5"/>
      <c r="F423" s="5"/>
      <c r="G423" s="5"/>
      <c r="H423" s="4"/>
      <c r="I423" s="19"/>
      <c r="J423" s="8"/>
      <c r="K423" s="17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</row>
    <row r="424" spans="1:53" x14ac:dyDescent="0.25">
      <c r="A424" s="5"/>
      <c r="B424" s="5"/>
      <c r="C424" s="5"/>
      <c r="D424" s="5"/>
      <c r="E424" s="5"/>
      <c r="F424" s="5"/>
      <c r="G424" s="5"/>
      <c r="H424" s="4"/>
      <c r="I424" s="19"/>
      <c r="J424" s="8"/>
      <c r="K424" s="17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</row>
    <row r="425" spans="1:53" x14ac:dyDescent="0.25">
      <c r="A425" s="5"/>
      <c r="B425" s="5"/>
      <c r="C425" s="5"/>
      <c r="D425" s="5"/>
      <c r="E425" s="5"/>
      <c r="F425" s="5"/>
      <c r="G425" s="5"/>
      <c r="H425" s="4"/>
      <c r="I425" s="19"/>
      <c r="J425" s="8"/>
      <c r="K425" s="17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</row>
    <row r="426" spans="1:53" x14ac:dyDescent="0.25">
      <c r="A426" s="5"/>
      <c r="B426" s="5"/>
      <c r="C426" s="5"/>
      <c r="D426" s="5"/>
      <c r="E426" s="5"/>
      <c r="F426" s="5"/>
      <c r="G426" s="5"/>
      <c r="H426" s="4"/>
      <c r="I426" s="19"/>
      <c r="J426" s="8"/>
      <c r="K426" s="17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</row>
    <row r="427" spans="1:53" x14ac:dyDescent="0.25">
      <c r="A427" s="5"/>
      <c r="B427" s="5"/>
      <c r="C427" s="5"/>
      <c r="D427" s="5"/>
      <c r="E427" s="5"/>
      <c r="F427" s="5"/>
      <c r="G427" s="5"/>
      <c r="H427" s="4"/>
      <c r="I427" s="19"/>
      <c r="J427" s="8"/>
      <c r="K427" s="17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</row>
    <row r="428" spans="1:53" x14ac:dyDescent="0.25">
      <c r="A428" s="5"/>
      <c r="B428" s="5"/>
      <c r="C428" s="5"/>
      <c r="D428" s="5"/>
      <c r="E428" s="5"/>
      <c r="F428" s="5"/>
      <c r="G428" s="5"/>
      <c r="H428" s="4"/>
      <c r="I428" s="19"/>
      <c r="J428" s="8"/>
      <c r="K428" s="17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</row>
    <row r="429" spans="1:53" x14ac:dyDescent="0.25">
      <c r="A429" s="5"/>
      <c r="B429" s="5"/>
      <c r="C429" s="5"/>
      <c r="D429" s="5"/>
      <c r="E429" s="5"/>
      <c r="F429" s="5"/>
      <c r="G429" s="5"/>
      <c r="H429" s="4"/>
      <c r="I429" s="19"/>
      <c r="J429" s="8"/>
      <c r="K429" s="17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</row>
    <row r="430" spans="1:53" x14ac:dyDescent="0.25">
      <c r="A430" s="5"/>
      <c r="B430" s="5"/>
      <c r="C430" s="5"/>
      <c r="D430" s="5"/>
      <c r="E430" s="5"/>
      <c r="F430" s="5"/>
      <c r="G430" s="5"/>
      <c r="H430" s="4"/>
      <c r="I430" s="19"/>
      <c r="J430" s="8"/>
      <c r="K430" s="17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</row>
    <row r="431" spans="1:53" x14ac:dyDescent="0.25">
      <c r="A431" s="5"/>
      <c r="B431" s="5"/>
      <c r="C431" s="5"/>
      <c r="D431" s="5"/>
      <c r="E431" s="5"/>
      <c r="F431" s="5"/>
      <c r="G431" s="5"/>
      <c r="H431" s="4"/>
      <c r="I431" s="19"/>
      <c r="J431" s="8"/>
      <c r="K431" s="17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</row>
    <row r="432" spans="1:53" x14ac:dyDescent="0.25">
      <c r="A432" s="5"/>
      <c r="B432" s="5"/>
      <c r="C432" s="5"/>
      <c r="D432" s="5"/>
      <c r="E432" s="5"/>
      <c r="F432" s="5"/>
      <c r="G432" s="5"/>
      <c r="H432" s="4"/>
      <c r="I432" s="19"/>
      <c r="J432" s="8"/>
      <c r="K432" s="17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</row>
    <row r="433" spans="1:53" x14ac:dyDescent="0.25">
      <c r="A433" s="5"/>
      <c r="B433" s="5"/>
      <c r="C433" s="5"/>
      <c r="D433" s="5"/>
      <c r="E433" s="5"/>
      <c r="F433" s="5"/>
      <c r="G433" s="5"/>
      <c r="H433" s="4"/>
      <c r="I433" s="19"/>
      <c r="J433" s="8"/>
      <c r="K433" s="17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</row>
  </sheetData>
  <mergeCells count="1">
    <mergeCell ref="F4:G4"/>
  </mergeCells>
  <conditionalFormatting sqref="I7">
    <cfRule type="containsText" dxfId="45" priority="33" operator="containsText" text="INVALID MARK">
      <formula>NOT(ISERROR(SEARCH("INVALID MARK",I7)))</formula>
    </cfRule>
    <cfRule type="containsText" dxfId="44" priority="34" operator="containsText" text="INVALID ENTRY">
      <formula>NOT(ISERROR(SEARCH("INVALID ENTRY",I7)))</formula>
    </cfRule>
    <cfRule type="containsText" dxfId="43" priority="35" operator="containsText" text="MISSING MARK">
      <formula>NOT(ISERROR(SEARCH("MISSING MARK",I7)))</formula>
    </cfRule>
  </conditionalFormatting>
  <conditionalFormatting sqref="D7">
    <cfRule type="containsText" dxfId="42" priority="31" operator="containsText" text="FAIL">
      <formula>NOT(ISERROR(SEARCH("FAIL",D7)))</formula>
    </cfRule>
    <cfRule type="containsText" dxfId="41" priority="32" operator="containsText" text="PASS">
      <formula>NOT(ISERROR(SEARCH("PASS",D7)))</formula>
    </cfRule>
  </conditionalFormatting>
  <conditionalFormatting sqref="I8:I10">
    <cfRule type="containsText" dxfId="40" priority="28" operator="containsText" text="INVALID MARK">
      <formula>NOT(ISERROR(SEARCH("INVALID MARK",I8)))</formula>
    </cfRule>
    <cfRule type="containsText" dxfId="39" priority="29" operator="containsText" text="INVALID ENTRY">
      <formula>NOT(ISERROR(SEARCH("INVALID ENTRY",I8)))</formula>
    </cfRule>
    <cfRule type="containsText" dxfId="38" priority="30" operator="containsText" text="MISSING MARK">
      <formula>NOT(ISERROR(SEARCH("MISSING MARK",I8)))</formula>
    </cfRule>
  </conditionalFormatting>
  <conditionalFormatting sqref="D8:D10">
    <cfRule type="containsText" dxfId="37" priority="26" operator="containsText" text="FAIL">
      <formula>NOT(ISERROR(SEARCH("FAIL",D8)))</formula>
    </cfRule>
    <cfRule type="containsText" dxfId="36" priority="27" operator="containsText" text="PASS">
      <formula>NOT(ISERROR(SEARCH("PASS",D8)))</formula>
    </cfRule>
  </conditionalFormatting>
  <conditionalFormatting sqref="I11:I15">
    <cfRule type="containsText" dxfId="35" priority="23" operator="containsText" text="INVALID MARK">
      <formula>NOT(ISERROR(SEARCH("INVALID MARK",I11)))</formula>
    </cfRule>
    <cfRule type="containsText" dxfId="34" priority="24" operator="containsText" text="INVALID ENTRY">
      <formula>NOT(ISERROR(SEARCH("INVALID ENTRY",I11)))</formula>
    </cfRule>
    <cfRule type="containsText" dxfId="33" priority="25" operator="containsText" text="MISSING MARK">
      <formula>NOT(ISERROR(SEARCH("MISSING MARK",I11)))</formula>
    </cfRule>
  </conditionalFormatting>
  <conditionalFormatting sqref="D11:D15">
    <cfRule type="containsText" dxfId="32" priority="21" operator="containsText" text="FAIL">
      <formula>NOT(ISERROR(SEARCH("FAIL",D11)))</formula>
    </cfRule>
    <cfRule type="containsText" dxfId="31" priority="22" operator="containsText" text="PASS">
      <formula>NOT(ISERROR(SEARCH("PASS",D11)))</formula>
    </cfRule>
  </conditionalFormatting>
  <conditionalFormatting sqref="I16">
    <cfRule type="containsText" dxfId="30" priority="18" operator="containsText" text="INVALID MARK">
      <formula>NOT(ISERROR(SEARCH("INVALID MARK",I16)))</formula>
    </cfRule>
    <cfRule type="containsText" dxfId="29" priority="19" operator="containsText" text="INVALID ENTRY">
      <formula>NOT(ISERROR(SEARCH("INVALID ENTRY",I16)))</formula>
    </cfRule>
    <cfRule type="containsText" dxfId="28" priority="20" operator="containsText" text="MISSING MARK">
      <formula>NOT(ISERROR(SEARCH("MISSING MARK",I16)))</formula>
    </cfRule>
  </conditionalFormatting>
  <conditionalFormatting sqref="D16">
    <cfRule type="containsText" dxfId="27" priority="16" operator="containsText" text="FAIL">
      <formula>NOT(ISERROR(SEARCH("FAIL",D16)))</formula>
    </cfRule>
    <cfRule type="containsText" dxfId="26" priority="17" operator="containsText" text="PASS">
      <formula>NOT(ISERROR(SEARCH("PASS",D16)))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1:DQ16"/>
  <sheetViews>
    <sheetView workbookViewId="0">
      <selection activeCell="L11" sqref="L11"/>
    </sheetView>
  </sheetViews>
  <sheetFormatPr defaultRowHeight="15" x14ac:dyDescent="0.25"/>
  <cols>
    <col min="1" max="2" width="9.140625" style="5"/>
    <col min="3" max="3" width="11" style="5" bestFit="1" customWidth="1"/>
    <col min="4" max="4" width="6.85546875" style="5" bestFit="1" customWidth="1"/>
    <col min="5" max="5" width="16.42578125" style="5" bestFit="1" customWidth="1"/>
    <col min="6" max="6" width="18.85546875" style="5" bestFit="1" customWidth="1"/>
    <col min="7" max="8" width="15.85546875" style="5" bestFit="1" customWidth="1"/>
    <col min="9" max="9" width="14.42578125" style="4" bestFit="1" customWidth="1"/>
    <col min="10" max="10" width="11" style="19" bestFit="1" customWidth="1"/>
    <col min="11" max="11" width="29.140625" style="8" bestFit="1" customWidth="1"/>
    <col min="12" max="12" width="18.85546875" style="17" customWidth="1"/>
    <col min="13" max="14" width="18.85546875" style="9" customWidth="1"/>
    <col min="15" max="21" width="18.85546875" customWidth="1"/>
    <col min="22" max="22" width="16.42578125" style="5" bestFit="1" customWidth="1"/>
    <col min="23" max="23" width="13.85546875" style="5" bestFit="1" customWidth="1"/>
    <col min="24" max="25" width="15.85546875" style="5" bestFit="1" customWidth="1"/>
    <col min="26" max="26" width="10.28515625" style="5" bestFit="1" customWidth="1"/>
    <col min="27" max="28" width="9.42578125" style="5" bestFit="1" customWidth="1"/>
    <col min="29" max="35" width="9" style="5" bestFit="1" customWidth="1"/>
    <col min="36" max="36" width="10" style="5" bestFit="1" customWidth="1"/>
    <col min="37" max="37" width="11" style="5" bestFit="1" customWidth="1"/>
    <col min="38" max="16384" width="9.140625" style="5"/>
  </cols>
  <sheetData>
    <row r="1" spans="3:121" x14ac:dyDescent="0.25">
      <c r="O1" s="9"/>
      <c r="P1" s="9"/>
      <c r="Q1" s="9"/>
      <c r="R1" s="9"/>
      <c r="S1" s="9"/>
      <c r="T1" s="9"/>
      <c r="U1" s="9"/>
    </row>
    <row r="2" spans="3:121" x14ac:dyDescent="0.25">
      <c r="O2" s="9"/>
      <c r="P2" s="9"/>
      <c r="Q2" s="9"/>
      <c r="R2" s="9"/>
      <c r="S2" s="9"/>
      <c r="T2" s="9"/>
      <c r="U2" s="9"/>
    </row>
    <row r="3" spans="3:121" ht="15.75" thickBot="1" x14ac:dyDescent="0.3">
      <c r="C3" s="7" t="s">
        <v>6</v>
      </c>
      <c r="D3" s="3" t="str">
        <f ca="1">MID(CELL("filename",A1),FIND("]",CELL("filename",A1))+1,255)</f>
        <v>Exam</v>
      </c>
      <c r="F3" s="7" t="s">
        <v>44</v>
      </c>
      <c r="G3" s="4">
        <f>'Final Marks'!D12</f>
        <v>0.5</v>
      </c>
      <c r="H3" s="4"/>
      <c r="I3" s="19"/>
      <c r="J3" s="8"/>
      <c r="K3" s="17"/>
      <c r="L3" s="9"/>
      <c r="O3" s="9"/>
      <c r="P3" s="9"/>
      <c r="Q3" s="9"/>
      <c r="R3" s="9"/>
      <c r="S3" s="9"/>
      <c r="T3" s="9"/>
      <c r="U3" s="9"/>
    </row>
    <row r="4" spans="3:121" ht="123.75" customHeight="1" thickBot="1" x14ac:dyDescent="0.3">
      <c r="C4" s="21"/>
      <c r="F4" s="131"/>
      <c r="G4" s="131"/>
      <c r="H4" s="4"/>
      <c r="I4" s="19"/>
      <c r="J4" s="8"/>
      <c r="K4" s="95" t="s">
        <v>73</v>
      </c>
      <c r="L4" s="92" t="s">
        <v>74</v>
      </c>
      <c r="M4" s="92"/>
      <c r="N4" s="92"/>
      <c r="O4" s="93"/>
      <c r="P4" s="93"/>
      <c r="Q4" s="93"/>
      <c r="R4" s="93"/>
      <c r="S4" s="93"/>
      <c r="T4" s="93"/>
      <c r="U4" s="94"/>
      <c r="Y4" s="4"/>
      <c r="Z4" s="17"/>
      <c r="AA4" s="9"/>
      <c r="AB4" s="9"/>
      <c r="AC4" s="9"/>
      <c r="AD4" s="9"/>
      <c r="AE4" s="9"/>
      <c r="AF4" s="9"/>
      <c r="AG4" s="9"/>
      <c r="AH4" s="9"/>
      <c r="AI4" s="9"/>
      <c r="AJ4" s="9"/>
      <c r="AK4" s="8"/>
      <c r="AO4" s="7"/>
      <c r="AP4" s="3"/>
      <c r="AT4" s="4"/>
      <c r="AU4" s="17"/>
      <c r="AV4" s="9"/>
      <c r="AW4" s="9"/>
      <c r="AX4" s="9"/>
      <c r="AY4" s="9"/>
      <c r="AZ4" s="9"/>
      <c r="BA4" s="9"/>
      <c r="BB4" s="9"/>
      <c r="BC4" s="9"/>
      <c r="BD4" s="9"/>
      <c r="BE4" s="9"/>
      <c r="BF4" s="8"/>
      <c r="BJ4" s="7"/>
      <c r="BK4" s="3"/>
      <c r="BO4" s="4"/>
      <c r="BP4" s="17"/>
      <c r="BQ4" s="9"/>
      <c r="BR4" s="9"/>
      <c r="BS4" s="9"/>
      <c r="BT4" s="9"/>
      <c r="BU4" s="9"/>
      <c r="BV4" s="9"/>
      <c r="BW4" s="9"/>
      <c r="BX4" s="9"/>
      <c r="BY4" s="9"/>
      <c r="BZ4" s="9"/>
      <c r="CA4" s="8"/>
      <c r="CE4" s="7"/>
      <c r="CF4" s="3"/>
      <c r="CJ4" s="4"/>
      <c r="CK4" s="17"/>
      <c r="CL4" s="9"/>
      <c r="CM4" s="9"/>
      <c r="CN4" s="9"/>
      <c r="CO4" s="9"/>
      <c r="CP4" s="9"/>
      <c r="CQ4" s="9"/>
      <c r="CR4" s="9"/>
      <c r="CS4" s="9"/>
      <c r="CT4" s="9"/>
      <c r="CU4" s="9"/>
      <c r="CV4" s="8"/>
      <c r="CZ4" s="7"/>
      <c r="DA4" s="3"/>
      <c r="DE4" s="4"/>
      <c r="DF4" s="17"/>
      <c r="DG4" s="9"/>
      <c r="DH4" s="9"/>
      <c r="DI4" s="9"/>
      <c r="DJ4" s="9"/>
      <c r="DK4" s="9"/>
      <c r="DL4" s="9"/>
      <c r="DM4" s="9"/>
      <c r="DN4" s="9"/>
      <c r="DO4" s="9"/>
      <c r="DP4" s="9"/>
      <c r="DQ4" s="8"/>
    </row>
    <row r="5" spans="3:121" s="7" customFormat="1" ht="15.75" thickBot="1" x14ac:dyDescent="0.3">
      <c r="D5" s="1"/>
      <c r="E5" s="63" t="str">
        <f>'Final Marks'!$D$25</f>
        <v>Student Surname</v>
      </c>
      <c r="F5" s="64" t="str">
        <f>'Final Marks'!$E$25</f>
        <v>Student Name</v>
      </c>
      <c r="G5" s="64" t="str">
        <f>'Final Marks'!$F$25</f>
        <v>Student Number</v>
      </c>
      <c r="H5" s="82" t="s">
        <v>8</v>
      </c>
      <c r="I5" s="83" t="s">
        <v>0</v>
      </c>
      <c r="J5" s="84" t="s">
        <v>7</v>
      </c>
      <c r="K5" s="83" t="s">
        <v>10</v>
      </c>
      <c r="L5" s="87" t="s">
        <v>56</v>
      </c>
      <c r="M5" s="87" t="s">
        <v>57</v>
      </c>
      <c r="N5" s="87" t="s">
        <v>58</v>
      </c>
      <c r="O5" s="87" t="s">
        <v>59</v>
      </c>
      <c r="P5" s="87" t="s">
        <v>60</v>
      </c>
      <c r="Q5" s="87" t="s">
        <v>61</v>
      </c>
      <c r="R5" s="87" t="s">
        <v>62</v>
      </c>
      <c r="S5" s="87" t="s">
        <v>63</v>
      </c>
      <c r="T5" s="87" t="s">
        <v>64</v>
      </c>
      <c r="U5" s="87" t="s">
        <v>65</v>
      </c>
      <c r="Y5" s="6"/>
      <c r="Z5" s="12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0"/>
      <c r="AT5" s="6"/>
      <c r="AU5" s="12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0"/>
      <c r="BO5" s="6"/>
      <c r="BP5" s="12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0"/>
      <c r="CJ5" s="6"/>
      <c r="CK5" s="12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0"/>
      <c r="DE5" s="6"/>
      <c r="DF5" s="1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0"/>
    </row>
    <row r="6" spans="3:121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100</v>
      </c>
      <c r="J6" s="79"/>
      <c r="K6" s="80">
        <f t="shared" ref="K6" si="0">SUM(L6:O6)</f>
        <v>100</v>
      </c>
      <c r="L6" s="81">
        <v>100</v>
      </c>
      <c r="M6" s="81"/>
      <c r="N6" s="81"/>
      <c r="O6" s="81"/>
      <c r="P6" s="81"/>
      <c r="Q6" s="81"/>
      <c r="R6" s="81"/>
      <c r="S6" s="81"/>
      <c r="T6" s="81"/>
      <c r="U6" s="81"/>
      <c r="V6" s="34"/>
      <c r="Y6" s="16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P6" s="13"/>
      <c r="AT6" s="16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K6" s="13"/>
      <c r="BO6" s="16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F6" s="13"/>
      <c r="CJ6" s="16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DA6" s="13"/>
      <c r="DE6" s="16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</row>
    <row r="7" spans="3:121" x14ac:dyDescent="0.25"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>IF(ISOVERMAX(L7:U7),"INVALID MARK", IF(K7/K$6-J7&gt;=0, K7/K$6-J7, 0))</f>
        <v>0.72499999999999998</v>
      </c>
      <c r="I7" s="20">
        <f>IF(ISOVERMAX(L7:U7),"INVALID MARK", IF(COUNT(L7:U7)=COUNT(L$6:U$6), IFERROR(H7*K$6,), IF(COUNT(L7:U7)&lt;COUNT(L$6:U$6),"MISSING MARK","INVALID ENTRY")))</f>
        <v>72.5</v>
      </c>
      <c r="J7" s="28">
        <v>0</v>
      </c>
      <c r="K7" s="24">
        <f t="shared" ref="K7" si="1">SUM(L7:O7)</f>
        <v>72.5</v>
      </c>
      <c r="L7" s="9">
        <v>72.5</v>
      </c>
      <c r="O7" s="9"/>
      <c r="P7" s="9"/>
      <c r="Q7" s="9"/>
      <c r="R7" s="9"/>
      <c r="S7" s="9"/>
      <c r="T7" s="9"/>
      <c r="U7" s="9"/>
      <c r="Y7" s="18"/>
      <c r="Z7" s="17"/>
      <c r="AA7" s="9"/>
      <c r="AB7" s="9"/>
      <c r="AC7" s="9"/>
      <c r="AD7" s="9"/>
      <c r="AE7" s="9"/>
      <c r="AF7" s="9"/>
      <c r="AG7" s="9"/>
      <c r="AH7" s="9"/>
      <c r="AI7" s="9"/>
      <c r="AJ7" s="9"/>
      <c r="AK7" s="8"/>
      <c r="AT7" s="18"/>
      <c r="AU7" s="17"/>
      <c r="AV7" s="9"/>
      <c r="AW7" s="9"/>
      <c r="AX7" s="9"/>
      <c r="AY7" s="9"/>
      <c r="AZ7" s="9"/>
      <c r="BA7" s="9"/>
      <c r="BB7" s="9"/>
      <c r="BC7" s="9"/>
      <c r="BD7" s="9"/>
      <c r="BE7" s="9"/>
      <c r="BF7" s="8"/>
      <c r="BO7" s="18"/>
      <c r="BP7" s="17"/>
      <c r="BQ7" s="9"/>
      <c r="BR7" s="9"/>
      <c r="BS7" s="9"/>
      <c r="BT7" s="9"/>
      <c r="BU7" s="9"/>
      <c r="BV7" s="9"/>
      <c r="BW7" s="9"/>
      <c r="BX7" s="9"/>
      <c r="BY7" s="9"/>
      <c r="BZ7" s="9"/>
      <c r="CA7" s="8"/>
      <c r="CJ7" s="18"/>
      <c r="CK7" s="17"/>
      <c r="CL7" s="9"/>
      <c r="CM7" s="9"/>
      <c r="CN7" s="9"/>
      <c r="CO7" s="9"/>
      <c r="CP7" s="9"/>
      <c r="CQ7" s="9"/>
      <c r="CR7" s="9"/>
      <c r="CS7" s="9"/>
      <c r="CT7" s="9"/>
      <c r="CU7" s="9"/>
      <c r="CV7" s="8"/>
      <c r="DE7" s="18"/>
      <c r="DF7" s="17"/>
      <c r="DG7" s="9"/>
      <c r="DH7" s="9"/>
      <c r="DI7" s="9"/>
      <c r="DJ7" s="9"/>
      <c r="DK7" s="9"/>
      <c r="DL7" s="9"/>
      <c r="DM7" s="9"/>
      <c r="DN7" s="9"/>
      <c r="DO7" s="9"/>
      <c r="DP7" s="9"/>
      <c r="DQ7" s="8"/>
    </row>
    <row r="8" spans="3:121" x14ac:dyDescent="0.25">
      <c r="D8" s="2" t="str">
        <f t="shared" ref="D8:D10" si="2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>IF(ISOVERMAX(L8:U8),"INVALID MARK", IF(K8/K$6-J8&gt;=0, K8/K$6-J8, 0))</f>
        <v>0.87</v>
      </c>
      <c r="I8" s="20">
        <f>IF(ISOVERMAX(L8:U8),"INVALID MARK", IF(COUNT(L8:U8)=COUNT(L$6:U$6), IFERROR(H8*K$6,), IF(COUNT(L8:U8)&lt;COUNT(L$6:U$6),"MISSING MARK","INVALID ENTRY")))</f>
        <v>87</v>
      </c>
      <c r="J8" s="28">
        <v>0</v>
      </c>
      <c r="K8" s="24">
        <f t="shared" ref="K8:K10" si="3">SUM(L8:O8)</f>
        <v>87</v>
      </c>
      <c r="L8" s="9">
        <v>87</v>
      </c>
      <c r="O8" s="9"/>
      <c r="P8" s="9"/>
      <c r="Q8" s="9"/>
      <c r="R8" s="9"/>
      <c r="S8" s="9"/>
      <c r="T8" s="9"/>
      <c r="U8" s="9"/>
      <c r="Y8" s="18"/>
      <c r="Z8" s="17"/>
      <c r="AA8" s="9"/>
      <c r="AB8" s="9"/>
      <c r="AC8" s="9"/>
      <c r="AD8" s="9"/>
      <c r="AE8" s="9"/>
      <c r="AF8" s="9"/>
      <c r="AG8" s="9"/>
      <c r="AH8" s="9"/>
      <c r="AI8" s="9"/>
      <c r="AJ8" s="9"/>
      <c r="AK8" s="8"/>
      <c r="AT8" s="18"/>
      <c r="AU8" s="17"/>
      <c r="AV8" s="9"/>
      <c r="AW8" s="9"/>
      <c r="AX8" s="9"/>
      <c r="AY8" s="9"/>
      <c r="AZ8" s="9"/>
      <c r="BA8" s="9"/>
      <c r="BB8" s="9"/>
      <c r="BC8" s="9"/>
      <c r="BD8" s="9"/>
      <c r="BE8" s="9"/>
      <c r="BF8" s="8"/>
      <c r="BO8" s="18"/>
      <c r="BP8" s="17"/>
      <c r="BQ8" s="9"/>
      <c r="BR8" s="9"/>
      <c r="BS8" s="9"/>
      <c r="BT8" s="9"/>
      <c r="BU8" s="9"/>
      <c r="BV8" s="9"/>
      <c r="BW8" s="9"/>
      <c r="BX8" s="9"/>
      <c r="BY8" s="9"/>
      <c r="BZ8" s="9"/>
      <c r="CA8" s="8"/>
      <c r="CJ8" s="18"/>
      <c r="CK8" s="17"/>
      <c r="CL8" s="9"/>
      <c r="CM8" s="9"/>
      <c r="CN8" s="9"/>
      <c r="CO8" s="9"/>
      <c r="CP8" s="9"/>
      <c r="CQ8" s="9"/>
      <c r="CR8" s="9"/>
      <c r="CS8" s="9"/>
      <c r="CT8" s="9"/>
      <c r="CU8" s="9"/>
      <c r="CV8" s="8"/>
      <c r="DE8" s="18"/>
      <c r="DF8" s="17"/>
      <c r="DG8" s="9"/>
      <c r="DH8" s="9"/>
      <c r="DI8" s="9"/>
      <c r="DJ8" s="9"/>
      <c r="DK8" s="9"/>
      <c r="DL8" s="9"/>
      <c r="DM8" s="9"/>
      <c r="DN8" s="9"/>
      <c r="DO8" s="9"/>
      <c r="DP8" s="9"/>
      <c r="DQ8" s="8"/>
    </row>
    <row r="9" spans="3:121" x14ac:dyDescent="0.25">
      <c r="D9" s="2" t="str">
        <f t="shared" si="2"/>
        <v>FAIL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>IF(ISOVERMAX(L9:U9),"INVALID MARK", IF(K9/K$6-J9&gt;=0, K9/K$6-J9, 0))</f>
        <v>0.45</v>
      </c>
      <c r="I9" s="20">
        <f>IF(ISOVERMAX(L9:U9),"INVALID MARK", IF(COUNT(L9:U9)=COUNT(L$6:U$6), IFERROR(H9*K$6,), IF(COUNT(L9:U9)&lt;COUNT(L$6:U$6),"MISSING MARK","INVALID ENTRY")))</f>
        <v>45</v>
      </c>
      <c r="J9" s="28">
        <v>0</v>
      </c>
      <c r="K9" s="24">
        <f t="shared" si="3"/>
        <v>45</v>
      </c>
      <c r="L9" s="9">
        <v>45</v>
      </c>
      <c r="O9" s="9"/>
      <c r="P9" s="9"/>
      <c r="Q9" s="9"/>
      <c r="R9" s="9"/>
      <c r="S9" s="9"/>
      <c r="T9" s="9"/>
      <c r="U9" s="9"/>
      <c r="Y9" s="18"/>
      <c r="Z9" s="17"/>
      <c r="AA9" s="9"/>
      <c r="AB9" s="9"/>
      <c r="AC9" s="9"/>
      <c r="AD9" s="9"/>
      <c r="AE9" s="9"/>
      <c r="AF9" s="9"/>
      <c r="AG9" s="9"/>
      <c r="AH9" s="9"/>
      <c r="AI9" s="9"/>
      <c r="AJ9" s="9"/>
      <c r="AK9" s="8"/>
      <c r="AT9" s="18"/>
      <c r="AU9" s="17"/>
      <c r="AV9" s="9"/>
      <c r="AW9" s="9"/>
      <c r="AX9" s="9"/>
      <c r="AY9" s="9"/>
      <c r="AZ9" s="9"/>
      <c r="BA9" s="9"/>
      <c r="BB9" s="9"/>
      <c r="BC9" s="9"/>
      <c r="BD9" s="9"/>
      <c r="BE9" s="9"/>
      <c r="BF9" s="8"/>
      <c r="BO9" s="18"/>
      <c r="BP9" s="17"/>
      <c r="BQ9" s="9"/>
      <c r="BR9" s="9"/>
      <c r="BS9" s="9"/>
      <c r="BT9" s="9"/>
      <c r="BU9" s="9"/>
      <c r="BV9" s="9"/>
      <c r="BW9" s="9"/>
      <c r="BX9" s="9"/>
      <c r="BY9" s="9"/>
      <c r="BZ9" s="9"/>
      <c r="CA9" s="8"/>
      <c r="CJ9" s="18"/>
      <c r="CK9" s="17"/>
      <c r="CL9" s="9"/>
      <c r="CM9" s="9"/>
      <c r="CN9" s="9"/>
      <c r="CO9" s="9"/>
      <c r="CP9" s="9"/>
      <c r="CQ9" s="9"/>
      <c r="CR9" s="9"/>
      <c r="CS9" s="9"/>
      <c r="CT9" s="9"/>
      <c r="CU9" s="9"/>
      <c r="CV9" s="8"/>
      <c r="DE9" s="18"/>
      <c r="DF9" s="17"/>
      <c r="DG9" s="9"/>
      <c r="DH9" s="9"/>
      <c r="DI9" s="9"/>
      <c r="DJ9" s="9"/>
      <c r="DK9" s="9"/>
      <c r="DL9" s="9"/>
      <c r="DM9" s="9"/>
      <c r="DN9" s="9"/>
      <c r="DO9" s="9"/>
      <c r="DP9" s="9"/>
      <c r="DQ9" s="8"/>
    </row>
    <row r="10" spans="3:121" x14ac:dyDescent="0.25">
      <c r="D10" s="2" t="str">
        <f t="shared" si="2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>IF(ISOVERMAX(L10:U10),"INVALID MARK", IF(K10/K$6-J10&gt;=0, K10/K$6-J10, 0))</f>
        <v>0.53</v>
      </c>
      <c r="I10" s="20">
        <f>IF(ISOVERMAX(L10:U10),"INVALID MARK", IF(COUNT(L10:U10)=COUNT(L$6:U$6), IFERROR(H10*K$6,), IF(COUNT(L10:U10)&lt;COUNT(L$6:U$6),"MISSING MARK","INVALID ENTRY")))</f>
        <v>53</v>
      </c>
      <c r="J10" s="28">
        <v>0</v>
      </c>
      <c r="K10" s="24">
        <f t="shared" si="3"/>
        <v>53</v>
      </c>
      <c r="L10" s="9">
        <v>53</v>
      </c>
      <c r="O10" s="9"/>
      <c r="P10" s="9"/>
      <c r="Q10" s="9"/>
      <c r="R10" s="9"/>
      <c r="S10" s="9"/>
      <c r="T10" s="9"/>
      <c r="U10" s="9"/>
      <c r="Y10" s="18"/>
      <c r="Z10" s="17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8"/>
      <c r="AT10" s="18"/>
      <c r="AU10" s="17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8"/>
      <c r="BO10" s="18"/>
      <c r="BP10" s="17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8"/>
      <c r="CJ10" s="18"/>
      <c r="CK10" s="17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8"/>
      <c r="DE10" s="18"/>
      <c r="DF10" s="17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8"/>
    </row>
    <row r="11" spans="3:121" x14ac:dyDescent="0.25">
      <c r="D11" s="2" t="str">
        <f t="shared" ref="D11:D15" si="4">IF(H11&gt;G$3, "PASS", "FAIL")</f>
        <v>FAIL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>IF(ISOVERMAX(L11:U11),"INVALID MARK", IF(K11/K$6-J11&gt;=0, K11/K$6-J11, 0))</f>
        <v>0.41</v>
      </c>
      <c r="I11" s="20">
        <f>IF(ISOVERMAX(L11:U11),"INVALID MARK", IF(COUNT(L11:U11)=COUNT(L$6:U$6), IFERROR(H11*K$6,), IF(COUNT(L11:U11)&lt;COUNT(L$6:U$6),"MISSING MARK","INVALID ENTRY")))</f>
        <v>41</v>
      </c>
      <c r="J11" s="28">
        <v>0</v>
      </c>
      <c r="K11" s="24">
        <f t="shared" ref="K11:K15" si="5">SUM(L11:O11)</f>
        <v>41</v>
      </c>
      <c r="L11" s="9">
        <v>41</v>
      </c>
      <c r="O11" s="9"/>
      <c r="P11" s="9"/>
      <c r="Q11" s="9"/>
      <c r="R11" s="9"/>
      <c r="S11" s="9"/>
      <c r="T11" s="9"/>
      <c r="U11" s="9"/>
      <c r="Y11" s="18"/>
      <c r="Z11" s="17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8"/>
      <c r="AT11" s="18"/>
      <c r="AU11" s="17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8"/>
      <c r="BO11" s="18"/>
      <c r="BP11" s="17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8"/>
      <c r="CJ11" s="18"/>
      <c r="CK11" s="17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8"/>
      <c r="DE11" s="18"/>
      <c r="DF11" s="17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8"/>
    </row>
    <row r="12" spans="3:121" x14ac:dyDescent="0.25"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>IF(ISOVERMAX(L12:U12),"INVALID MARK", IF(K12/K$6-J12&gt;=0, K12/K$6-J12, 0))</f>
        <v>0.65</v>
      </c>
      <c r="I12" s="20">
        <f>IF(ISOVERMAX(L12:U12),"INVALID MARK", IF(COUNT(L12:U12)=COUNT(L$6:U$6), IFERROR(H12*K$6,), IF(COUNT(L12:U12)&lt;COUNT(L$6:U$6),"MISSING MARK","INVALID ENTRY")))</f>
        <v>65</v>
      </c>
      <c r="J12" s="28">
        <v>0</v>
      </c>
      <c r="K12" s="24">
        <f t="shared" si="5"/>
        <v>65</v>
      </c>
      <c r="L12" s="9">
        <v>65</v>
      </c>
      <c r="O12" s="9"/>
      <c r="P12" s="9"/>
      <c r="Q12" s="9"/>
      <c r="R12" s="9"/>
      <c r="S12" s="9"/>
      <c r="T12" s="9"/>
      <c r="U12" s="9"/>
      <c r="Y12" s="18"/>
      <c r="Z12" s="17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8"/>
      <c r="AT12" s="18"/>
      <c r="AU12" s="17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8"/>
      <c r="BO12" s="18"/>
      <c r="BP12" s="17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8"/>
      <c r="CJ12" s="18"/>
      <c r="CK12" s="17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8"/>
      <c r="DE12" s="18"/>
      <c r="DF12" s="17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8"/>
    </row>
    <row r="13" spans="3:121" x14ac:dyDescent="0.25"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>IF(ISOVERMAX(L13:U13),"INVALID MARK", IF(K13/K$6-J13&gt;=0, K13/K$6-J13, 0))</f>
        <v>0.57999999999999996</v>
      </c>
      <c r="I13" s="20">
        <f>IF(ISOVERMAX(L13:U13),"INVALID MARK", IF(COUNT(L13:U13)=COUNT(L$6:U$6), IFERROR(H13*K$6,), IF(COUNT(L13:U13)&lt;COUNT(L$6:U$6),"MISSING MARK","INVALID ENTRY")))</f>
        <v>57.999999999999993</v>
      </c>
      <c r="J13" s="28">
        <v>0</v>
      </c>
      <c r="K13" s="24">
        <f t="shared" si="5"/>
        <v>58</v>
      </c>
      <c r="L13" s="9">
        <v>58</v>
      </c>
      <c r="O13" s="9"/>
      <c r="P13" s="9"/>
      <c r="Q13" s="9"/>
      <c r="R13" s="9"/>
      <c r="S13" s="9"/>
      <c r="T13" s="9"/>
      <c r="U13" s="9"/>
      <c r="Y13" s="18"/>
      <c r="Z13" s="17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8"/>
      <c r="AT13" s="18"/>
      <c r="AU13" s="17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8"/>
      <c r="BO13" s="18"/>
      <c r="BP13" s="17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8"/>
      <c r="CJ13" s="18"/>
      <c r="CK13" s="17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8"/>
      <c r="DE13" s="18"/>
      <c r="DF13" s="17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8"/>
    </row>
    <row r="14" spans="3:121" x14ac:dyDescent="0.25"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>IF(ISOVERMAX(L14:U14),"INVALID MARK", IF(K14/K$6-J14&gt;=0, K14/K$6-J14, 0))</f>
        <v>0.69</v>
      </c>
      <c r="I14" s="20">
        <f>IF(ISOVERMAX(L14:U14),"INVALID MARK", IF(COUNT(L14:U14)=COUNT(L$6:U$6), IFERROR(H14*K$6,), IF(COUNT(L14:U14)&lt;COUNT(L$6:U$6),"MISSING MARK","INVALID ENTRY")))</f>
        <v>69</v>
      </c>
      <c r="J14" s="28">
        <v>0</v>
      </c>
      <c r="K14" s="24">
        <f t="shared" si="5"/>
        <v>69</v>
      </c>
      <c r="L14" s="9">
        <v>69</v>
      </c>
      <c r="O14" s="9"/>
      <c r="P14" s="9"/>
      <c r="Q14" s="9"/>
      <c r="R14" s="9"/>
      <c r="S14" s="9"/>
      <c r="T14" s="9"/>
      <c r="U14" s="9"/>
      <c r="Y14" s="18"/>
      <c r="Z14" s="17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8"/>
      <c r="AT14" s="18"/>
      <c r="AU14" s="17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8"/>
      <c r="BO14" s="18"/>
      <c r="BP14" s="17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8"/>
      <c r="CJ14" s="18"/>
      <c r="CK14" s="17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8"/>
      <c r="DE14" s="18"/>
      <c r="DF14" s="17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8"/>
    </row>
    <row r="15" spans="3:121" x14ac:dyDescent="0.25"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>IF(ISOVERMAX(L15:U15),"INVALID MARK", IF(K15/K$6-J15&gt;=0, K15/K$6-J15, 0))</f>
        <v>0.80500000000000005</v>
      </c>
      <c r="I15" s="20">
        <f>IF(ISOVERMAX(L15:U15),"INVALID MARK", IF(COUNT(L15:U15)=COUNT(L$6:U$6), IFERROR(H15*K$6,), IF(COUNT(L15:U15)&lt;COUNT(L$6:U$6),"MISSING MARK","INVALID ENTRY")))</f>
        <v>80.5</v>
      </c>
      <c r="J15" s="28">
        <v>0</v>
      </c>
      <c r="K15" s="24">
        <f t="shared" si="5"/>
        <v>80.5</v>
      </c>
      <c r="L15" s="9">
        <v>80.5</v>
      </c>
      <c r="O15" s="9"/>
      <c r="P15" s="9"/>
      <c r="Q15" s="9"/>
      <c r="R15" s="9"/>
      <c r="S15" s="9"/>
      <c r="T15" s="9"/>
      <c r="U15" s="9"/>
      <c r="Y15" s="18"/>
      <c r="Z15" s="1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8"/>
      <c r="AT15" s="18"/>
      <c r="AU15" s="17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8"/>
      <c r="BO15" s="18"/>
      <c r="BP15" s="17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8"/>
      <c r="CJ15" s="18"/>
      <c r="CK15" s="17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8"/>
      <c r="DE15" s="18"/>
      <c r="DF15" s="17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8"/>
    </row>
    <row r="16" spans="3:121" x14ac:dyDescent="0.25">
      <c r="D16" s="2" t="str">
        <f t="shared" ref="D16" si="6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>IF(ISOVERMAX(L16:U16),"INVALID MARK", IF(K16/K$6-J16&gt;=0, K16/K$6-J16, 0))</f>
        <v>0.77</v>
      </c>
      <c r="I16" s="20">
        <f>IF(ISOVERMAX(L16:U16),"INVALID MARK", IF(COUNT(L16:U16)=COUNT(L$6:U$6), IFERROR(H16*K$6,), IF(COUNT(L16:U16)&lt;COUNT(L$6:U$6),"MISSING MARK","INVALID ENTRY")))</f>
        <v>77</v>
      </c>
      <c r="J16" s="28">
        <v>0</v>
      </c>
      <c r="K16" s="24">
        <f t="shared" ref="K16" si="7">SUM(L16:O16)</f>
        <v>77</v>
      </c>
      <c r="L16" s="9">
        <v>77</v>
      </c>
      <c r="O16" s="9"/>
      <c r="P16" s="9"/>
      <c r="Q16" s="9"/>
      <c r="R16" s="9"/>
      <c r="S16" s="9"/>
      <c r="T16" s="9"/>
      <c r="U16" s="9"/>
      <c r="Y16" s="18"/>
      <c r="Z16" s="17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8"/>
      <c r="AT16" s="18"/>
      <c r="AU16" s="17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8"/>
      <c r="BO16" s="18"/>
      <c r="BP16" s="17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8"/>
      <c r="CJ16" s="18"/>
      <c r="CK16" s="17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8"/>
      <c r="DE16" s="18"/>
      <c r="DF16" s="17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8"/>
    </row>
  </sheetData>
  <mergeCells count="1">
    <mergeCell ref="F4:G4"/>
  </mergeCells>
  <conditionalFormatting sqref="I7">
    <cfRule type="containsText" dxfId="25" priority="276" operator="containsText" text="INVALID MARK">
      <formula>NOT(ISERROR(SEARCH("INVALID MARK",I7)))</formula>
    </cfRule>
    <cfRule type="containsText" dxfId="24" priority="277" operator="containsText" text="INVALID ENTRY">
      <formula>NOT(ISERROR(SEARCH("INVALID ENTRY",I7)))</formula>
    </cfRule>
    <cfRule type="containsText" dxfId="23" priority="278" operator="containsText" text="MISSING MARK">
      <formula>NOT(ISERROR(SEARCH("MISSING MARK",I7)))</formula>
    </cfRule>
  </conditionalFormatting>
  <conditionalFormatting sqref="H7">
    <cfRule type="containsText" dxfId="22" priority="275" operator="containsText" text="INVALID MARK">
      <formula>NOT(ISERROR(SEARCH("INVALID MARK",H7)))</formula>
    </cfRule>
  </conditionalFormatting>
  <conditionalFormatting sqref="D7">
    <cfRule type="containsText" dxfId="21" priority="49" operator="containsText" text="FAIL">
      <formula>NOT(ISERROR(SEARCH("FAIL",D7)))</formula>
    </cfRule>
    <cfRule type="containsText" dxfId="20" priority="50" operator="containsText" text="PASS">
      <formula>NOT(ISERROR(SEARCH("PASS",D7)))</formula>
    </cfRule>
  </conditionalFormatting>
  <conditionalFormatting sqref="I8:I10">
    <cfRule type="containsText" dxfId="19" priority="34" operator="containsText" text="INVALID MARK">
      <formula>NOT(ISERROR(SEARCH("INVALID MARK",I8)))</formula>
    </cfRule>
    <cfRule type="containsText" dxfId="18" priority="35" operator="containsText" text="INVALID ENTRY">
      <formula>NOT(ISERROR(SEARCH("INVALID ENTRY",I8)))</formula>
    </cfRule>
    <cfRule type="containsText" dxfId="17" priority="36" operator="containsText" text="MISSING MARK">
      <formula>NOT(ISERROR(SEARCH("MISSING MARK",I8)))</formula>
    </cfRule>
  </conditionalFormatting>
  <conditionalFormatting sqref="H8:H10">
    <cfRule type="containsText" dxfId="16" priority="33" operator="containsText" text="INVALID MARK">
      <formula>NOT(ISERROR(SEARCH("INVALID MARK",H8)))</formula>
    </cfRule>
  </conditionalFormatting>
  <conditionalFormatting sqref="D8:D10">
    <cfRule type="containsText" dxfId="15" priority="31" operator="containsText" text="FAIL">
      <formula>NOT(ISERROR(SEARCH("FAIL",D8)))</formula>
    </cfRule>
    <cfRule type="containsText" dxfId="14" priority="32" operator="containsText" text="PASS">
      <formula>NOT(ISERROR(SEARCH("PASS",D8)))</formula>
    </cfRule>
  </conditionalFormatting>
  <conditionalFormatting sqref="I11:I15">
    <cfRule type="containsText" dxfId="13" priority="28" operator="containsText" text="INVALID MARK">
      <formula>NOT(ISERROR(SEARCH("INVALID MARK",I11)))</formula>
    </cfRule>
    <cfRule type="containsText" dxfId="12" priority="29" operator="containsText" text="INVALID ENTRY">
      <formula>NOT(ISERROR(SEARCH("INVALID ENTRY",I11)))</formula>
    </cfRule>
    <cfRule type="containsText" dxfId="11" priority="30" operator="containsText" text="MISSING MARK">
      <formula>NOT(ISERROR(SEARCH("MISSING MARK",I11)))</formula>
    </cfRule>
  </conditionalFormatting>
  <conditionalFormatting sqref="H11:H15">
    <cfRule type="containsText" dxfId="10" priority="27" operator="containsText" text="INVALID MARK">
      <formula>NOT(ISERROR(SEARCH("INVALID MARK",H11)))</formula>
    </cfRule>
  </conditionalFormatting>
  <conditionalFormatting sqref="D11:D15">
    <cfRule type="containsText" dxfId="9" priority="25" operator="containsText" text="FAIL">
      <formula>NOT(ISERROR(SEARCH("FAIL",D11)))</formula>
    </cfRule>
    <cfRule type="containsText" dxfId="8" priority="26" operator="containsText" text="PASS">
      <formula>NOT(ISERROR(SEARCH("PASS",D11)))</formula>
    </cfRule>
  </conditionalFormatting>
  <conditionalFormatting sqref="I16">
    <cfRule type="containsText" dxfId="7" priority="22" operator="containsText" text="INVALID MARK">
      <formula>NOT(ISERROR(SEARCH("INVALID MARK",I16)))</formula>
    </cfRule>
    <cfRule type="containsText" dxfId="6" priority="23" operator="containsText" text="INVALID ENTRY">
      <formula>NOT(ISERROR(SEARCH("INVALID ENTRY",I16)))</formula>
    </cfRule>
    <cfRule type="containsText" dxfId="5" priority="24" operator="containsText" text="MISSING MARK">
      <formula>NOT(ISERROR(SEARCH("MISSING MARK",I16)))</formula>
    </cfRule>
  </conditionalFormatting>
  <conditionalFormatting sqref="H16">
    <cfRule type="containsText" dxfId="4" priority="21" operator="containsText" text="INVALID MARK">
      <formula>NOT(ISERROR(SEARCH("INVALID MARK",H16)))</formula>
    </cfRule>
  </conditionalFormatting>
  <conditionalFormatting sqref="D16">
    <cfRule type="containsText" dxfId="3" priority="19" operator="containsText" text="FAIL">
      <formula>NOT(ISERROR(SEARCH("FAIL",D16)))</formula>
    </cfRule>
    <cfRule type="containsText" dxfId="2" priority="20" operator="containsText" text="PASS">
      <formula>NOT(ISERROR(SEARCH("PASS",D16)))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Final Marks</vt:lpstr>
      <vt:lpstr>Test 1</vt:lpstr>
      <vt:lpstr>Test 2</vt:lpstr>
      <vt:lpstr>Oral Assignment 1</vt:lpstr>
      <vt:lpstr>Test 4</vt:lpstr>
      <vt:lpstr>Exam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2020-09-19T10:07:28Z</dcterms:modified>
</cp:coreProperties>
</file>