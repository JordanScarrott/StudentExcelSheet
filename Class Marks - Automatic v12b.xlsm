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M19" i="1" l="1"/>
  <c r="J28" i="1"/>
  <c r="J29" i="1"/>
  <c r="J30" i="1"/>
  <c r="J31" i="1"/>
  <c r="J32" i="1"/>
  <c r="J33" i="1"/>
  <c r="J34" i="1"/>
  <c r="J36" i="1"/>
  <c r="J35" i="1"/>
  <c r="J37" i="1"/>
  <c r="J38" i="1"/>
  <c r="I15" i="56" l="1"/>
  <c r="I13" i="55"/>
  <c r="I14" i="54"/>
  <c r="I38" i="1"/>
  <c r="I37" i="1"/>
  <c r="I35" i="1"/>
  <c r="I36" i="1"/>
  <c r="I34" i="1"/>
  <c r="I33" i="1"/>
  <c r="I32" i="1"/>
  <c r="I31" i="1"/>
  <c r="I30" i="1"/>
  <c r="I29" i="1"/>
  <c r="I28" i="1"/>
  <c r="M6" i="1" l="1"/>
  <c r="M4" i="1"/>
  <c r="M7" i="1"/>
  <c r="M8" i="1"/>
  <c r="M9" i="1"/>
  <c r="M10" i="1"/>
  <c r="M11" i="1"/>
  <c r="M12" i="1"/>
  <c r="M5" i="1"/>
  <c r="M13" i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5" i="58"/>
  <c r="I11" i="58"/>
  <c r="I9" i="58"/>
  <c r="I16" i="58"/>
  <c r="I12" i="58"/>
  <c r="I14" i="58"/>
  <c r="I13" i="58"/>
  <c r="I7" i="58"/>
  <c r="I8" i="58"/>
  <c r="I10" i="58"/>
  <c r="I7" i="56"/>
  <c r="I13" i="56"/>
  <c r="I9" i="56"/>
  <c r="I12" i="56"/>
  <c r="I16" i="56"/>
  <c r="I14" i="56"/>
  <c r="I8" i="56"/>
  <c r="I11" i="56"/>
  <c r="I10" i="56"/>
  <c r="I15" i="55"/>
  <c r="I14" i="55"/>
  <c r="I8" i="55"/>
  <c r="I16" i="55"/>
  <c r="I10" i="55"/>
  <c r="I7" i="55"/>
  <c r="I9" i="55"/>
  <c r="I12" i="55"/>
  <c r="I11" i="55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13" i="54"/>
  <c r="I16" i="54"/>
  <c r="I10" i="54"/>
  <c r="I11" i="54"/>
  <c r="I8" i="54"/>
  <c r="I12" i="54"/>
  <c r="I7" i="54"/>
  <c r="I9" i="54"/>
  <c r="I15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7" i="52"/>
  <c r="I14" i="52"/>
  <c r="I11" i="52"/>
  <c r="I12" i="52"/>
  <c r="I13" i="52"/>
  <c r="I10" i="52"/>
  <c r="I15" i="52"/>
  <c r="I8" i="52"/>
  <c r="I9" i="52"/>
  <c r="I16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3" i="1" l="1"/>
  <c r="M31" i="1"/>
  <c r="M28" i="1"/>
  <c r="M30" i="1"/>
  <c r="M32" i="1"/>
  <c r="M29" i="1"/>
  <c r="M34" i="1"/>
  <c r="N26" i="1"/>
  <c r="P26" i="1"/>
  <c r="L32" i="1" l="1"/>
  <c r="L29" i="1"/>
  <c r="L31" i="1"/>
  <c r="L33" i="1"/>
  <c r="L34" i="1"/>
  <c r="L30" i="1"/>
  <c r="L28" i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I17" i="56"/>
  <c r="P38" i="1" l="1"/>
  <c r="I17" i="58"/>
  <c r="Q38" i="1"/>
  <c r="I17" i="55"/>
  <c r="O38" i="1"/>
  <c r="I17" i="54"/>
  <c r="N38" i="1"/>
  <c r="M38" i="1" s="1"/>
  <c r="L38" i="1" s="1"/>
  <c r="Q35" i="1"/>
  <c r="Q36" i="1"/>
  <c r="O36" i="1"/>
  <c r="P35" i="1"/>
  <c r="O37" i="1"/>
  <c r="N36" i="1"/>
  <c r="P36" i="1"/>
  <c r="O35" i="1"/>
  <c r="N35" i="1"/>
  <c r="Q37" i="1"/>
  <c r="P37" i="1"/>
  <c r="N37" i="1"/>
  <c r="M36" i="1" l="1"/>
  <c r="L36" i="1" s="1"/>
  <c r="M37" i="1"/>
  <c r="L37" i="1" s="1"/>
  <c r="M35" i="1"/>
  <c r="L35" i="1" s="1"/>
  <c r="K37" i="1"/>
  <c r="G37" i="1" l="1"/>
  <c r="K36" i="1"/>
  <c r="I17" i="52"/>
  <c r="H36" i="1" l="1"/>
  <c r="H37" i="1"/>
  <c r="K38" i="1"/>
  <c r="G36" i="1" l="1"/>
  <c r="G38" i="1"/>
  <c r="H38" i="1"/>
  <c r="K35" i="1"/>
  <c r="C28" i="1"/>
  <c r="C29" i="1"/>
  <c r="M18" i="1" l="1"/>
  <c r="M17" i="1"/>
  <c r="H35" i="1"/>
  <c r="G35" i="1"/>
  <c r="M16" i="1" s="1"/>
  <c r="C30" i="1"/>
  <c r="B29" i="1" l="1"/>
  <c r="B28" i="1"/>
  <c r="B30" i="1"/>
  <c r="M14" i="1"/>
  <c r="M15" i="1"/>
  <c r="C31" i="1"/>
  <c r="B31" i="1" l="1"/>
  <c r="C32" i="1"/>
  <c r="B32" i="1" l="1"/>
  <c r="C33" i="1"/>
  <c r="B33" i="1" l="1"/>
  <c r="C34" i="1"/>
  <c r="B34" i="1" l="1"/>
  <c r="C35" i="1"/>
  <c r="B35" i="1" l="1"/>
  <c r="C36" i="1"/>
  <c r="B36" i="1" l="1"/>
  <c r="C37" i="1"/>
  <c r="B37" i="1" l="1"/>
  <c r="C38" i="1"/>
  <c r="B38" i="1" l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<sst xmlns="http://schemas.openxmlformats.org/spreadsheetml/2006/main" count="201" uniqueCount="105">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</sst>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170" fontId="0" fillId="0" borderId="0" xfId="0" applyNumberFormat="1"/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ont>
        <color rgb="FF9C0006"/>
      </font>
      <fill>
        <patternFill>
          <bgColor rgb="FFFFC7CE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Intensity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'Final Marks'!$A$28:$A$38</c:f>
              <c:numCache>
                <c:formatCode>0%</c:formatCode>
                <c:ptCount val="11"/>
                <c:pt idx="0">
                  <c:v>0</c:v>
                </c:pt>
                <c:pt idx="1">
                  <c:v>9.9989999999999996E-2</c:v>
                </c:pt>
                <c:pt idx="2">
                  <c:v>0.19997999999999999</c:v>
                </c:pt>
                <c:pt idx="3">
                  <c:v>0.29997000000000001</c:v>
                </c:pt>
                <c:pt idx="4">
                  <c:v>0.39995999999999998</c:v>
                </c:pt>
                <c:pt idx="5">
                  <c:v>0.49995000000000001</c:v>
                </c:pt>
                <c:pt idx="6">
                  <c:v>0.59994000000000003</c:v>
                </c:pt>
                <c:pt idx="7">
                  <c:v>0.69993000000000005</c:v>
                </c:pt>
                <c:pt idx="8">
                  <c:v>0.79991999999999996</c:v>
                </c:pt>
                <c:pt idx="9">
                  <c:v>0.89990999999999999</c:v>
                </c:pt>
                <c:pt idx="10">
                  <c:v>0.99990000000000001</c:v>
                </c:pt>
              </c:numCache>
            </c:numRef>
          </c:xVal>
          <c:yVal>
            <c:numRef>
              <c:f>'Final Marks'!$B$28:$B$38</c:f>
              <c:numCache>
                <c:formatCode>General</c:formatCode>
                <c:ptCount val="11"/>
                <c:pt idx="0">
                  <c:v>0.65583197432867024</c:v>
                </c:pt>
                <c:pt idx="1">
                  <c:v>1.7240738157944564</c:v>
                </c:pt>
                <c:pt idx="2">
                  <c:v>2.671697550565892</c:v>
                </c:pt>
                <c:pt idx="3">
                  <c:v>3.0033728437128961</c:v>
                </c:pt>
                <c:pt idx="4">
                  <c:v>3.0046851613406811</c:v>
                </c:pt>
                <c:pt idx="5">
                  <c:v>3.0848653078045269</c:v>
                </c:pt>
                <c:pt idx="6">
                  <c:v>3.1406849664702197</c:v>
                </c:pt>
                <c:pt idx="7">
                  <c:v>2.7620069498403721</c:v>
                </c:pt>
                <c:pt idx="8">
                  <c:v>2.590066623693323</c:v>
                </c:pt>
                <c:pt idx="9">
                  <c:v>2.1081849014944876</c:v>
                </c:pt>
                <c:pt idx="10">
                  <c:v>0.30727082892508506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74456"/>
        <c:axId val="238974840"/>
      </c:scatterChart>
      <c:valAx>
        <c:axId val="238974456"/>
        <c:scaling>
          <c:orientation val="minMax"/>
          <c:max val="1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74840"/>
        <c:crosses val="autoZero"/>
        <c:crossBetween val="midCat"/>
      </c:valAx>
      <c:valAx>
        <c:axId val="23897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7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>
    <xdr:from>
      <xdr:col>13</xdr:col>
      <xdr:colOff>238125</xdr:colOff>
      <xdr:row>4</xdr:row>
      <xdr:rowOff>176212</xdr:rowOff>
    </xdr:from>
    <xdr:to>
      <xdr:col>17</xdr:col>
      <xdr:colOff>28575</xdr:colOff>
      <xdr:row>18</xdr:row>
      <xdr:rowOff>195262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topLeftCell="A2" zoomScaleNormal="100" workbookViewId="0">
      <selection activeCell="E30" sqref="E30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09" t="s">
        <v>67</v>
      </c>
      <c r="G3" s="110"/>
      <c r="H3" s="110"/>
      <c r="I3" s="111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2"/>
      <c r="G4" s="113"/>
      <c r="H4" s="113"/>
      <c r="I4" s="114"/>
      <c r="J4" s="37"/>
      <c r="K4" s="53" t="s">
        <v>16</v>
      </c>
      <c r="L4" s="48" t="s">
        <v>104</v>
      </c>
      <c r="M4" s="59">
        <f t="shared" ref="M4:M13" si="0"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2"/>
      <c r="G5" s="113"/>
      <c r="H5" s="113"/>
      <c r="I5" s="114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2"/>
      <c r="G6" s="113"/>
      <c r="H6" s="113"/>
      <c r="I6" s="114"/>
      <c r="J6" s="37"/>
      <c r="K6" s="55" t="s">
        <v>18</v>
      </c>
      <c r="L6" s="49" t="s">
        <v>33</v>
      </c>
      <c r="M6" s="59">
        <f t="shared" si="0"/>
        <v>1</v>
      </c>
    </row>
    <row r="7" spans="3:13" ht="15.75" thickBot="1" x14ac:dyDescent="0.3">
      <c r="C7" s="40" t="s">
        <v>51</v>
      </c>
      <c r="D7" s="90">
        <v>11</v>
      </c>
      <c r="F7" s="106" t="s">
        <v>65</v>
      </c>
      <c r="G7" s="107"/>
      <c r="H7" s="107"/>
      <c r="I7" s="108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03" t="s">
        <v>66</v>
      </c>
      <c r="G8" s="104"/>
      <c r="H8" s="104"/>
      <c r="I8" s="105"/>
      <c r="J8" s="35"/>
      <c r="K8" s="55" t="s">
        <v>20</v>
      </c>
      <c r="L8" s="49" t="s">
        <v>37</v>
      </c>
      <c r="M8" s="59">
        <f t="shared" si="0"/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3</v>
      </c>
    </row>
    <row r="10" spans="3:13" x14ac:dyDescent="0.25">
      <c r="C10" s="38" t="s">
        <v>48</v>
      </c>
      <c r="D10" s="39">
        <v>0.5</v>
      </c>
      <c r="F10" s="115" t="s">
        <v>68</v>
      </c>
      <c r="G10" s="116"/>
      <c r="H10" s="116"/>
      <c r="I10" s="117"/>
      <c r="J10" s="35"/>
      <c r="K10" s="56" t="s">
        <v>22</v>
      </c>
      <c r="L10" s="50" t="s">
        <v>32</v>
      </c>
      <c r="M10" s="59">
        <f t="shared" si="0"/>
        <v>1</v>
      </c>
    </row>
    <row r="11" spans="3:13" x14ac:dyDescent="0.25">
      <c r="C11" s="42" t="s">
        <v>46</v>
      </c>
      <c r="D11" s="43">
        <v>0.4</v>
      </c>
      <c r="F11" s="106" t="s">
        <v>69</v>
      </c>
      <c r="G11" s="107"/>
      <c r="H11" s="107"/>
      <c r="I11" s="108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06" t="s">
        <v>71</v>
      </c>
      <c r="G12" s="107"/>
      <c r="H12" s="107"/>
      <c r="I12" s="108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03" t="s">
        <v>70</v>
      </c>
      <c r="G13" s="104"/>
      <c r="H13" s="104"/>
      <c r="I13" s="105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20" t="s">
        <v>28</v>
      </c>
      <c r="L14" s="121"/>
      <c r="M14" s="60">
        <f>COUNTIF(H28:H38, "=FAIL")</f>
        <v>3</v>
      </c>
    </row>
    <row r="15" spans="3:13" x14ac:dyDescent="0.25">
      <c r="J15" s="35"/>
      <c r="K15" s="122" t="s">
        <v>27</v>
      </c>
      <c r="L15" s="123"/>
      <c r="M15" s="59">
        <f>COUNTIF(H28:H38, "=PASS")</f>
        <v>8</v>
      </c>
    </row>
    <row r="16" spans="3:13" x14ac:dyDescent="0.25">
      <c r="J16" s="35"/>
      <c r="K16" s="122" t="s">
        <v>39</v>
      </c>
      <c r="L16" s="123"/>
      <c r="M16" s="59">
        <f>COUNTIF(G28:G38, "=WRITE SUPP")</f>
        <v>2</v>
      </c>
    </row>
    <row r="17" spans="1:17" x14ac:dyDescent="0.25">
      <c r="J17" s="35"/>
      <c r="K17" s="122" t="s">
        <v>40</v>
      </c>
      <c r="L17" s="123"/>
      <c r="M17" s="61">
        <f>MAX(J28:J38)-MIN(J28:J38)</f>
        <v>0.49799999999999989</v>
      </c>
    </row>
    <row r="18" spans="1:17" x14ac:dyDescent="0.25">
      <c r="J18" s="35"/>
      <c r="K18" s="122" t="s">
        <v>41</v>
      </c>
      <c r="L18" s="123"/>
      <c r="M18" s="61">
        <f>AVERAGE(J28:J38)</f>
        <v>0.61180165289256194</v>
      </c>
    </row>
    <row r="19" spans="1:17" ht="15.75" thickBot="1" x14ac:dyDescent="0.3">
      <c r="J19" s="35"/>
      <c r="K19" s="118" t="s">
        <v>42</v>
      </c>
      <c r="L19" s="119"/>
      <c r="M19" s="62">
        <f>_xlfn.STDEV.P(J28:J38)</f>
        <v>0.12678166077518194</v>
      </c>
    </row>
    <row r="24" spans="1:17" ht="15.75" thickBot="1" x14ac:dyDescent="0.3"/>
    <row r="25" spans="1:17" ht="15.75" thickBot="1" x14ac:dyDescent="0.3">
      <c r="C25">
        <v>0</v>
      </c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>
        <v>0</v>
      </c>
      <c r="B28">
        <f>_xlfn.NORM.DIST(C28, M$18, M$19, FALSE)</f>
        <v>0.65583197432867024</v>
      </c>
      <c r="C28" s="125">
        <f>minimumPositiveDiff(C$25, J$28:J$38)</f>
        <v>0.38727272727272732</v>
      </c>
      <c r="D28" s="73" t="s">
        <v>76</v>
      </c>
      <c r="E28" s="96" t="s">
        <v>89</v>
      </c>
      <c r="F28" s="88" t="s">
        <v>78</v>
      </c>
      <c r="G28" s="74" t="str">
        <f t="shared" ref="G28:G38" si="3">IF(AND(K28&gt;=D$13, J28&gt;=D$11), IF(OR(K28&lt;D$12, J28&lt;D$10), "WRITE SUPP", "NO SUPP"), "NO SUPP")</f>
        <v>NO SUPP</v>
      </c>
      <c r="H28" s="74" t="str">
        <f t="shared" ref="H28:H38" si="4">IF(K28&gt;=D$12, IF(J28&gt;=D$10, "PASS", "FAIL"), "FAIL")</f>
        <v>PASS</v>
      </c>
      <c r="I28" s="74" t="str">
        <f t="shared" ref="I28:I38" si="5">STUDENT_GRADE(J28,K$4:K$13,L$4:L$13)</f>
        <v>B</v>
      </c>
      <c r="J28" s="89">
        <f t="shared" ref="J28:J38" si="6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7"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>
        <v>9.9989999999999996E-2</v>
      </c>
      <c r="B29">
        <f t="shared" ref="B29:B38" si="8">_xlfn.NORM.DIST(C29, M$18, M$19, FALSE)</f>
        <v>1.7240738157944564</v>
      </c>
      <c r="C29">
        <f t="shared" ref="C29:C38" si="9">minimumPositiveDiff(C28,J$28:J$38)</f>
        <v>0.47272727272727277</v>
      </c>
      <c r="D29" s="73" t="s">
        <v>79</v>
      </c>
      <c r="E29" s="96" t="s">
        <v>77</v>
      </c>
      <c r="F29" s="88" t="s">
        <v>81</v>
      </c>
      <c r="G29" s="74" t="str">
        <f t="shared" si="3"/>
        <v>NO SUPP</v>
      </c>
      <c r="H29" s="74" t="str">
        <f t="shared" si="4"/>
        <v>PASS</v>
      </c>
      <c r="I29" s="74" t="str">
        <f t="shared" si="5"/>
        <v>A+</v>
      </c>
      <c r="J29" s="89">
        <f t="shared" si="6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7"/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>
        <v>0.19997999999999999</v>
      </c>
      <c r="B30">
        <f t="shared" si="8"/>
        <v>2.671697550565892</v>
      </c>
      <c r="C30">
        <f t="shared" si="9"/>
        <v>0.53927272727272724</v>
      </c>
      <c r="D30" s="101" t="s">
        <v>80</v>
      </c>
      <c r="E30" s="101" t="s">
        <v>84</v>
      </c>
      <c r="F30" s="88" t="s">
        <v>82</v>
      </c>
      <c r="G30" s="74" t="str">
        <f t="shared" si="3"/>
        <v>NO SUPP</v>
      </c>
      <c r="H30" s="74" t="str">
        <f t="shared" si="4"/>
        <v>FAIL</v>
      </c>
      <c r="I30" s="74" t="str">
        <f t="shared" si="5"/>
        <v>F</v>
      </c>
      <c r="J30" s="89">
        <f t="shared" si="6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7"/>
        <v>0.34545454545454546</v>
      </c>
      <c r="M30" s="74">
        <f t="shared" si="2"/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1:17" x14ac:dyDescent="0.25">
      <c r="A31" s="102">
        <v>0.29997000000000001</v>
      </c>
      <c r="B31">
        <f t="shared" si="8"/>
        <v>3.0033728437128961</v>
      </c>
      <c r="C31">
        <f t="shared" si="9"/>
        <v>0.5730909090909091</v>
      </c>
      <c r="D31" s="73" t="s">
        <v>85</v>
      </c>
      <c r="E31" s="73" t="s">
        <v>86</v>
      </c>
      <c r="F31" s="88" t="s">
        <v>83</v>
      </c>
      <c r="G31" s="74" t="str">
        <f t="shared" si="3"/>
        <v>NO SUPP</v>
      </c>
      <c r="H31" s="74" t="str">
        <f t="shared" si="4"/>
        <v>PASS</v>
      </c>
      <c r="I31" s="74" t="str">
        <f t="shared" si="5"/>
        <v>C</v>
      </c>
      <c r="J31" s="89">
        <f t="shared" si="6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7"/>
        <v>0.54545454545454541</v>
      </c>
      <c r="M31" s="74">
        <f t="shared" si="2"/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1:17" x14ac:dyDescent="0.25">
      <c r="A32" s="102">
        <v>0.39995999999999998</v>
      </c>
      <c r="B32">
        <f t="shared" si="8"/>
        <v>3.0046851613406811</v>
      </c>
      <c r="C32">
        <f t="shared" si="9"/>
        <v>0.57327272727272727</v>
      </c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4"/>
        <v>FAIL</v>
      </c>
      <c r="I32" s="74" t="str">
        <f t="shared" si="5"/>
        <v>C+</v>
      </c>
      <c r="J32" s="89">
        <f t="shared" si="6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7"/>
        <v>0.68181818181818177</v>
      </c>
      <c r="M32" s="74">
        <f t="shared" si="2"/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>
        <v>0.49995000000000001</v>
      </c>
      <c r="B33">
        <f t="shared" si="8"/>
        <v>3.0848653078045269</v>
      </c>
      <c r="C33">
        <f t="shared" si="9"/>
        <v>0.58654545454545448</v>
      </c>
      <c r="D33" s="73" t="s">
        <v>92</v>
      </c>
      <c r="E33" s="73" t="s">
        <v>91</v>
      </c>
      <c r="F33" s="88" t="s">
        <v>93</v>
      </c>
      <c r="G33" s="74" t="str">
        <f t="shared" si="3"/>
        <v>WRITE SUPP</v>
      </c>
      <c r="H33" s="74" t="str">
        <f t="shared" si="4"/>
        <v>FAIL</v>
      </c>
      <c r="I33" s="74" t="str">
        <f t="shared" si="5"/>
        <v>C-</v>
      </c>
      <c r="J33" s="89">
        <f t="shared" si="6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7"/>
        <v>0.35454545454545455</v>
      </c>
      <c r="M33" s="74">
        <f t="shared" si="2"/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1:17" x14ac:dyDescent="0.25">
      <c r="A34" s="102">
        <v>0.59994000000000003</v>
      </c>
      <c r="B34">
        <f t="shared" si="8"/>
        <v>3.1406849664702197</v>
      </c>
      <c r="C34">
        <f t="shared" si="9"/>
        <v>0.61963636363636354</v>
      </c>
      <c r="D34" s="73" t="s">
        <v>95</v>
      </c>
      <c r="E34" s="73" t="s">
        <v>94</v>
      </c>
      <c r="F34" s="88" t="s">
        <v>97</v>
      </c>
      <c r="G34" s="74" t="str">
        <f t="shared" si="3"/>
        <v>NO SUPP</v>
      </c>
      <c r="H34" s="74" t="str">
        <f t="shared" si="4"/>
        <v>PASS</v>
      </c>
      <c r="I34" s="74" t="str">
        <f t="shared" si="5"/>
        <v>C+</v>
      </c>
      <c r="J34" s="89">
        <f t="shared" si="6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7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>
        <v>0.69993000000000005</v>
      </c>
      <c r="B35">
        <f t="shared" si="8"/>
        <v>2.7620069498403721</v>
      </c>
      <c r="C35">
        <f t="shared" si="9"/>
        <v>0.67654545454545456</v>
      </c>
      <c r="D35" s="73" t="s">
        <v>95</v>
      </c>
      <c r="E35" s="73" t="s">
        <v>99</v>
      </c>
      <c r="F35" s="88" t="s">
        <v>98</v>
      </c>
      <c r="G35" s="74" t="str">
        <f t="shared" si="3"/>
        <v>NO SUPP</v>
      </c>
      <c r="H35" s="74" t="str">
        <f t="shared" si="4"/>
        <v>PASS</v>
      </c>
      <c r="I35" s="74" t="str">
        <f t="shared" si="5"/>
        <v>C+</v>
      </c>
      <c r="J35" s="89">
        <f t="shared" si="6"/>
        <v>0.57327272727272727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7"/>
        <v>0.49545454545454548</v>
      </c>
      <c r="M35" s="74">
        <f t="shared" si="2"/>
        <v>54.5</v>
      </c>
      <c r="N35" s="75" t="str">
        <f>'Test 1'!I14</f>
        <v>INVALID MARK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1:17" x14ac:dyDescent="0.25">
      <c r="A36" s="102">
        <v>0.79991999999999996</v>
      </c>
      <c r="B36">
        <f t="shared" si="8"/>
        <v>2.590066623693323</v>
      </c>
      <c r="C36">
        <f t="shared" si="9"/>
        <v>0.69090909090909092</v>
      </c>
      <c r="D36" s="73" t="s">
        <v>95</v>
      </c>
      <c r="E36" s="73" t="s">
        <v>96</v>
      </c>
      <c r="F36" s="88" t="s">
        <v>100</v>
      </c>
      <c r="G36" s="74" t="str">
        <f t="shared" si="3"/>
        <v>NO SUPP</v>
      </c>
      <c r="H36" s="74" t="str">
        <f t="shared" si="4"/>
        <v>PASS</v>
      </c>
      <c r="I36" s="74" t="str">
        <f t="shared" si="5"/>
        <v>B</v>
      </c>
      <c r="J36" s="89">
        <f t="shared" si="6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7"/>
        <v>0.59090909090909094</v>
      </c>
      <c r="M36" s="74">
        <f t="shared" si="2"/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>
        <v>0.89990999999999999</v>
      </c>
      <c r="B37">
        <f t="shared" si="8"/>
        <v>2.1081849014944876</v>
      </c>
      <c r="C37">
        <f t="shared" si="9"/>
        <v>0.72527272727272729</v>
      </c>
      <c r="D37" s="73" t="s">
        <v>2</v>
      </c>
      <c r="E37" s="73" t="s">
        <v>96</v>
      </c>
      <c r="F37" s="88"/>
      <c r="G37" s="74" t="str">
        <f t="shared" si="3"/>
        <v>NO SUPP</v>
      </c>
      <c r="H37" s="74" t="str">
        <f t="shared" si="4"/>
        <v>PASS</v>
      </c>
      <c r="I37" s="74" t="str">
        <f t="shared" si="5"/>
        <v>B+</v>
      </c>
      <c r="J37" s="89">
        <f t="shared" si="6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7"/>
        <v>0.69545454545454544</v>
      </c>
      <c r="M37" s="74">
        <f t="shared" si="2"/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>
        <v>0.99990000000000001</v>
      </c>
      <c r="B38">
        <f t="shared" si="8"/>
        <v>0.30727082892508506</v>
      </c>
      <c r="C38">
        <f t="shared" si="9"/>
        <v>0.88527272727272721</v>
      </c>
      <c r="D38" s="73" t="s">
        <v>102</v>
      </c>
      <c r="E38" s="73" t="s">
        <v>101</v>
      </c>
      <c r="F38" s="88" t="s">
        <v>103</v>
      </c>
      <c r="G38" s="74" t="str">
        <f t="shared" si="3"/>
        <v>NO SUPP</v>
      </c>
      <c r="H38" s="74" t="str">
        <f t="shared" si="4"/>
        <v>PASS</v>
      </c>
      <c r="I38" s="74" t="str">
        <f t="shared" si="5"/>
        <v>B-</v>
      </c>
      <c r="J38" s="89">
        <f t="shared" si="6"/>
        <v>0.61963636363636354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7"/>
        <v>0.57272727272727275</v>
      </c>
      <c r="M38" s="74">
        <f t="shared" si="2"/>
        <v>63</v>
      </c>
      <c r="N38" s="75">
        <f>'Test 1'!I17</f>
        <v>7</v>
      </c>
      <c r="O38" s="75">
        <f>'Test 2'!I17</f>
        <v>16.999999999999996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I28:I38">
    <cfRule type="cellIs" dxfId="153" priority="826" operator="equal">
      <formula>$L$11</formula>
    </cfRule>
    <cfRule type="cellIs" dxfId="152" priority="828" operator="equal">
      <formula>$L$9</formula>
    </cfRule>
    <cfRule type="cellIs" dxfId="151" priority="4988" operator="equal">
      <formula>$L$8</formula>
    </cfRule>
    <cfRule type="cellIs" dxfId="150" priority="4990" operator="equal">
      <formula>$L$6</formula>
    </cfRule>
    <cfRule type="cellIs" dxfId="149" priority="4991" operator="equal">
      <formula>$L$5</formula>
    </cfRule>
    <cfRule type="cellIs" dxfId="148" priority="5238" operator="equal">
      <formula>$L$4</formula>
    </cfRule>
  </conditionalFormatting>
  <conditionalFormatting sqref="G28">
    <cfRule type="containsText" dxfId="147" priority="5237" operator="containsText" text="WRITE SUPP">
      <formula>NOT(ISERROR(SEARCH("WRITE SUPP",G28)))</formula>
    </cfRule>
  </conditionalFormatting>
  <conditionalFormatting sqref="K28:K38">
    <cfRule type="containsText" dxfId="146" priority="1656" operator="containsText" text="MISSING MARK">
      <formula>NOT(ISERROR(SEARCH("MISSING MARK",K28)))</formula>
    </cfRule>
    <cfRule type="containsText" dxfId="145" priority="5233" operator="containsText" text="INVALID MARK">
      <formula>NOT(ISERROR(SEARCH("INVALID MARK",K28)))</formula>
    </cfRule>
    <cfRule type="cellIs" dxfId="144" priority="5240" operator="lessThan">
      <formula>$D$12</formula>
    </cfRule>
    <cfRule type="cellIs" priority="5241" operator="greaterThanOrEqual">
      <formula>$D$12</formula>
    </cfRule>
    <cfRule type="expression" dxfId="143" priority="5242">
      <formula>"&gt;=$D$10"</formula>
    </cfRule>
  </conditionalFormatting>
  <conditionalFormatting sqref="N28">
    <cfRule type="containsText" dxfId="142" priority="5234" operator="containsText" text="INVALID MARK">
      <formula>NOT(ISERROR(SEARCH("INVALID MARK",N28)))</formula>
    </cfRule>
    <cfRule type="containsText" dxfId="141" priority="5235" operator="containsText" text="INVALID ENTRY">
      <formula>NOT(ISERROR(SEARCH("INVALID ENTRY",N28)))</formula>
    </cfRule>
    <cfRule type="containsText" dxfId="140" priority="5236" operator="containsText" text="MISSING MARK">
      <formula>NOT(ISERROR(SEARCH("MISSING MARK",N28)))</formula>
    </cfRule>
  </conditionalFormatting>
  <conditionalFormatting sqref="H28">
    <cfRule type="containsText" dxfId="139" priority="5232" operator="containsText" text="FAIL">
      <formula>NOT(ISERROR(SEARCH("FAIL",H28)))</formula>
    </cfRule>
  </conditionalFormatting>
  <conditionalFormatting sqref="I28:I38">
    <cfRule type="cellIs" dxfId="138" priority="824" operator="equal">
      <formula>$L$13</formula>
    </cfRule>
    <cfRule type="cellIs" dxfId="137" priority="825" operator="equal">
      <formula>$L$12</formula>
    </cfRule>
    <cfRule type="cellIs" dxfId="136" priority="827" operator="equal">
      <formula>$L$10</formula>
    </cfRule>
    <cfRule type="cellIs" dxfId="135" priority="4989" operator="equal">
      <formula>$L$7</formula>
    </cfRule>
  </conditionalFormatting>
  <conditionalFormatting sqref="G29:G31">
    <cfRule type="containsText" dxfId="134" priority="1796" operator="containsText" text="WRITE SUPP">
      <formula>NOT(ISERROR(SEARCH("WRITE SUPP",G29)))</formula>
    </cfRule>
  </conditionalFormatting>
  <conditionalFormatting sqref="J28:J37">
    <cfRule type="cellIs" dxfId="133" priority="1798" operator="lessThan">
      <formula>$D$10</formula>
    </cfRule>
  </conditionalFormatting>
  <conditionalFormatting sqref="N29:N31">
    <cfRule type="containsText" dxfId="132" priority="1793" operator="containsText" text="INVALID MARK">
      <formula>NOT(ISERROR(SEARCH("INVALID MARK",N29)))</formula>
    </cfRule>
    <cfRule type="containsText" dxfId="131" priority="1794" operator="containsText" text="INVALID ENTRY">
      <formula>NOT(ISERROR(SEARCH("INVALID ENTRY",N29)))</formula>
    </cfRule>
    <cfRule type="containsText" dxfId="130" priority="1795" operator="containsText" text="MISSING MARK">
      <formula>NOT(ISERROR(SEARCH("MISSING MARK",N29)))</formula>
    </cfRule>
  </conditionalFormatting>
  <conditionalFormatting sqref="H29:H31">
    <cfRule type="containsText" dxfId="129" priority="1791" operator="containsText" text="FAIL">
      <formula>NOT(ISERROR(SEARCH("FAIL",H29)))</formula>
    </cfRule>
  </conditionalFormatting>
  <conditionalFormatting sqref="O28">
    <cfRule type="containsText" dxfId="128" priority="1784" operator="containsText" text="INVALID MARK">
      <formula>NOT(ISERROR(SEARCH("INVALID MARK",O28)))</formula>
    </cfRule>
    <cfRule type="containsText" dxfId="127" priority="1785" operator="containsText" text="INVALID ENTRY">
      <formula>NOT(ISERROR(SEARCH("INVALID ENTRY",O28)))</formula>
    </cfRule>
    <cfRule type="containsText" dxfId="126" priority="1786" operator="containsText" text="MISSING MARK">
      <formula>NOT(ISERROR(SEARCH("MISSING MARK",O28)))</formula>
    </cfRule>
  </conditionalFormatting>
  <conditionalFormatting sqref="O29:O31">
    <cfRule type="containsText" dxfId="125" priority="1781" operator="containsText" text="INVALID MARK">
      <formula>NOT(ISERROR(SEARCH("INVALID MARK",O29)))</formula>
    </cfRule>
    <cfRule type="containsText" dxfId="124" priority="1782" operator="containsText" text="INVALID ENTRY">
      <formula>NOT(ISERROR(SEARCH("INVALID ENTRY",O29)))</formula>
    </cfRule>
    <cfRule type="containsText" dxfId="123" priority="1783" operator="containsText" text="MISSING MARK">
      <formula>NOT(ISERROR(SEARCH("MISSING MARK",O29)))</formula>
    </cfRule>
  </conditionalFormatting>
  <conditionalFormatting sqref="P28">
    <cfRule type="containsText" dxfId="122" priority="1778" operator="containsText" text="INVALID MARK">
      <formula>NOT(ISERROR(SEARCH("INVALID MARK",P28)))</formula>
    </cfRule>
    <cfRule type="containsText" dxfId="121" priority="1779" operator="containsText" text="INVALID ENTRY">
      <formula>NOT(ISERROR(SEARCH("INVALID ENTRY",P28)))</formula>
    </cfRule>
    <cfRule type="containsText" dxfId="120" priority="1780" operator="containsText" text="MISSING MARK">
      <formula>NOT(ISERROR(SEARCH("MISSING MARK",P28)))</formula>
    </cfRule>
  </conditionalFormatting>
  <conditionalFormatting sqref="P29:P31">
    <cfRule type="containsText" dxfId="119" priority="1775" operator="containsText" text="INVALID MARK">
      <formula>NOT(ISERROR(SEARCH("INVALID MARK",P29)))</formula>
    </cfRule>
    <cfRule type="containsText" dxfId="118" priority="1776" operator="containsText" text="INVALID ENTRY">
      <formula>NOT(ISERROR(SEARCH("INVALID ENTRY",P29)))</formula>
    </cfRule>
    <cfRule type="containsText" dxfId="117" priority="1777" operator="containsText" text="MISSING MARK">
      <formula>NOT(ISERROR(SEARCH("MISSING MARK",P29)))</formula>
    </cfRule>
  </conditionalFormatting>
  <conditionalFormatting sqref="Q28">
    <cfRule type="containsText" dxfId="116" priority="1766" operator="containsText" text="INVALID MARK">
      <formula>NOT(ISERROR(SEARCH("INVALID MARK",Q28)))</formula>
    </cfRule>
    <cfRule type="containsText" dxfId="115" priority="1767" operator="containsText" text="INVALID ENTRY">
      <formula>NOT(ISERROR(SEARCH("INVALID ENTRY",Q28)))</formula>
    </cfRule>
    <cfRule type="containsText" dxfId="114" priority="1768" operator="containsText" text="MISSING MARK">
      <formula>NOT(ISERROR(SEARCH("MISSING MARK",Q28)))</formula>
    </cfRule>
  </conditionalFormatting>
  <conditionalFormatting sqref="Q29:Q31">
    <cfRule type="containsText" dxfId="113" priority="1763" operator="containsText" text="INVALID MARK">
      <formula>NOT(ISERROR(SEARCH("INVALID MARK",Q29)))</formula>
    </cfRule>
    <cfRule type="containsText" dxfId="112" priority="1764" operator="containsText" text="INVALID ENTRY">
      <formula>NOT(ISERROR(SEARCH("INVALID ENTRY",Q29)))</formula>
    </cfRule>
    <cfRule type="containsText" dxfId="111" priority="1765" operator="containsText" text="MISSING MARK">
      <formula>NOT(ISERROR(SEARCH("MISSING MARK",Q29)))</formula>
    </cfRule>
  </conditionalFormatting>
  <conditionalFormatting sqref="G32:G36">
    <cfRule type="containsText" dxfId="110" priority="1757" operator="containsText" text="WRITE SUPP">
      <formula>NOT(ISERROR(SEARCH("WRITE SUPP",G32)))</formula>
    </cfRule>
  </conditionalFormatting>
  <conditionalFormatting sqref="N32:N36">
    <cfRule type="containsText" dxfId="109" priority="1754" operator="containsText" text="INVALID MARK">
      <formula>NOT(ISERROR(SEARCH("INVALID MARK",N32)))</formula>
    </cfRule>
    <cfRule type="containsText" dxfId="108" priority="1755" operator="containsText" text="INVALID ENTRY">
      <formula>NOT(ISERROR(SEARCH("INVALID ENTRY",N32)))</formula>
    </cfRule>
    <cfRule type="containsText" dxfId="107" priority="1756" operator="containsText" text="MISSING MARK">
      <formula>NOT(ISERROR(SEARCH("MISSING MARK",N32)))</formula>
    </cfRule>
  </conditionalFormatting>
  <conditionalFormatting sqref="H32:H36">
    <cfRule type="containsText" dxfId="106" priority="1752" operator="containsText" text="FAIL">
      <formula>NOT(ISERROR(SEARCH("FAIL",H32)))</formula>
    </cfRule>
  </conditionalFormatting>
  <conditionalFormatting sqref="O32:O36">
    <cfRule type="containsText" dxfId="105" priority="1745" operator="containsText" text="INVALID MARK">
      <formula>NOT(ISERROR(SEARCH("INVALID MARK",O32)))</formula>
    </cfRule>
    <cfRule type="containsText" dxfId="104" priority="1746" operator="containsText" text="INVALID ENTRY">
      <formula>NOT(ISERROR(SEARCH("INVALID ENTRY",O32)))</formula>
    </cfRule>
    <cfRule type="containsText" dxfId="103" priority="1747" operator="containsText" text="MISSING MARK">
      <formula>NOT(ISERROR(SEARCH("MISSING MARK",O32)))</formula>
    </cfRule>
  </conditionalFormatting>
  <conditionalFormatting sqref="P32:P36">
    <cfRule type="containsText" dxfId="102" priority="1742" operator="containsText" text="INVALID MARK">
      <formula>NOT(ISERROR(SEARCH("INVALID MARK",P32)))</formula>
    </cfRule>
    <cfRule type="containsText" dxfId="101" priority="1743" operator="containsText" text="INVALID ENTRY">
      <formula>NOT(ISERROR(SEARCH("INVALID ENTRY",P32)))</formula>
    </cfRule>
    <cfRule type="containsText" dxfId="100" priority="1744" operator="containsText" text="MISSING MARK">
      <formula>NOT(ISERROR(SEARCH("MISSING MARK",P32)))</formula>
    </cfRule>
  </conditionalFormatting>
  <conditionalFormatting sqref="Q32:Q36">
    <cfRule type="containsText" dxfId="99" priority="1739" operator="containsText" text="INVALID MARK">
      <formula>NOT(ISERROR(SEARCH("INVALID MARK",Q32)))</formula>
    </cfRule>
    <cfRule type="containsText" dxfId="98" priority="1740" operator="containsText" text="INVALID ENTRY">
      <formula>NOT(ISERROR(SEARCH("INVALID ENTRY",Q32)))</formula>
    </cfRule>
    <cfRule type="containsText" dxfId="97" priority="1741" operator="containsText" text="MISSING MARK">
      <formula>NOT(ISERROR(SEARCH("MISSING MARK",Q32)))</formula>
    </cfRule>
  </conditionalFormatting>
  <conditionalFormatting sqref="G37">
    <cfRule type="containsText" dxfId="96" priority="1724" operator="containsText" text="WRITE SUPP">
      <formula>NOT(ISERROR(SEARCH("WRITE SUPP",G37)))</formula>
    </cfRule>
  </conditionalFormatting>
  <conditionalFormatting sqref="N37">
    <cfRule type="containsText" dxfId="95" priority="1721" operator="containsText" text="INVALID MARK">
      <formula>NOT(ISERROR(SEARCH("INVALID MARK",N37)))</formula>
    </cfRule>
    <cfRule type="containsText" dxfId="94" priority="1722" operator="containsText" text="INVALID ENTRY">
      <formula>NOT(ISERROR(SEARCH("INVALID ENTRY",N37)))</formula>
    </cfRule>
    <cfRule type="containsText" dxfId="93" priority="1723" operator="containsText" text="MISSING MARK">
      <formula>NOT(ISERROR(SEARCH("MISSING MARK",N37)))</formula>
    </cfRule>
  </conditionalFormatting>
  <conditionalFormatting sqref="H37">
    <cfRule type="containsText" dxfId="92" priority="1719" operator="containsText" text="FAIL">
      <formula>NOT(ISERROR(SEARCH("FAIL",H37)))</formula>
    </cfRule>
  </conditionalFormatting>
  <conditionalFormatting sqref="O37">
    <cfRule type="containsText" dxfId="91" priority="1712" operator="containsText" text="INVALID MARK">
      <formula>NOT(ISERROR(SEARCH("INVALID MARK",O37)))</formula>
    </cfRule>
    <cfRule type="containsText" dxfId="90" priority="1713" operator="containsText" text="INVALID ENTRY">
      <formula>NOT(ISERROR(SEARCH("INVALID ENTRY",O37)))</formula>
    </cfRule>
    <cfRule type="containsText" dxfId="89" priority="1714" operator="containsText" text="MISSING MARK">
      <formula>NOT(ISERROR(SEARCH("MISSING MARK",O37)))</formula>
    </cfRule>
  </conditionalFormatting>
  <conditionalFormatting sqref="P37">
    <cfRule type="containsText" dxfId="88" priority="1709" operator="containsText" text="INVALID MARK">
      <formula>NOT(ISERROR(SEARCH("INVALID MARK",P37)))</formula>
    </cfRule>
    <cfRule type="containsText" dxfId="87" priority="1710" operator="containsText" text="INVALID ENTRY">
      <formula>NOT(ISERROR(SEARCH("INVALID ENTRY",P37)))</formula>
    </cfRule>
    <cfRule type="containsText" dxfId="86" priority="1711" operator="containsText" text="MISSING MARK">
      <formula>NOT(ISERROR(SEARCH("MISSING MARK",P37)))</formula>
    </cfRule>
  </conditionalFormatting>
  <conditionalFormatting sqref="Q37">
    <cfRule type="containsText" dxfId="85" priority="1706" operator="containsText" text="INVALID MARK">
      <formula>NOT(ISERROR(SEARCH("INVALID MARK",Q37)))</formula>
    </cfRule>
    <cfRule type="containsText" dxfId="84" priority="1707" operator="containsText" text="INVALID ENTRY">
      <formula>NOT(ISERROR(SEARCH("INVALID ENTRY",Q37)))</formula>
    </cfRule>
    <cfRule type="containsText" dxfId="83" priority="1708" operator="containsText" text="MISSING MARK">
      <formula>NOT(ISERROR(SEARCH("MISSING MARK",Q37)))</formula>
    </cfRule>
  </conditionalFormatting>
  <conditionalFormatting sqref="J38">
    <cfRule type="cellIs" dxfId="0" priority="1626" operator="lessThan">
      <formula>$D$10</formula>
    </cfRule>
  </conditionalFormatting>
  <conditionalFormatting sqref="G38">
    <cfRule type="containsText" dxfId="82" priority="1624" operator="containsText" text="WRITE SUPP">
      <formula>NOT(ISERROR(SEARCH("WRITE SUPP",G38)))</formula>
    </cfRule>
  </conditionalFormatting>
  <conditionalFormatting sqref="N38">
    <cfRule type="containsText" dxfId="81" priority="1621" operator="containsText" text="INVALID MARK">
      <formula>NOT(ISERROR(SEARCH("INVALID MARK",N38)))</formula>
    </cfRule>
    <cfRule type="containsText" dxfId="80" priority="1622" operator="containsText" text="INVALID ENTRY">
      <formula>NOT(ISERROR(SEARCH("INVALID ENTRY",N38)))</formula>
    </cfRule>
    <cfRule type="containsText" dxfId="79" priority="1623" operator="containsText" text="MISSING MARK">
      <formula>NOT(ISERROR(SEARCH("MISSING MARK",N38)))</formula>
    </cfRule>
  </conditionalFormatting>
  <conditionalFormatting sqref="H38">
    <cfRule type="containsText" dxfId="78" priority="1620" operator="containsText" text="FAIL">
      <formula>NOT(ISERROR(SEARCH("FAIL",H38)))</formula>
    </cfRule>
  </conditionalFormatting>
  <conditionalFormatting sqref="O38">
    <cfRule type="containsText" dxfId="77" priority="1613" operator="containsText" text="INVALID MARK">
      <formula>NOT(ISERROR(SEARCH("INVALID MARK",O38)))</formula>
    </cfRule>
    <cfRule type="containsText" dxfId="76" priority="1614" operator="containsText" text="INVALID ENTRY">
      <formula>NOT(ISERROR(SEARCH("INVALID ENTRY",O38)))</formula>
    </cfRule>
    <cfRule type="containsText" dxfId="75" priority="1615" operator="containsText" text="MISSING MARK">
      <formula>NOT(ISERROR(SEARCH("MISSING MARK",O38)))</formula>
    </cfRule>
  </conditionalFormatting>
  <conditionalFormatting sqref="P38">
    <cfRule type="containsText" dxfId="74" priority="1610" operator="containsText" text="INVALID MARK">
      <formula>NOT(ISERROR(SEARCH("INVALID MARK",P38)))</formula>
    </cfRule>
    <cfRule type="containsText" dxfId="73" priority="1611" operator="containsText" text="INVALID ENTRY">
      <formula>NOT(ISERROR(SEARCH("INVALID ENTRY",P38)))</formula>
    </cfRule>
    <cfRule type="containsText" dxfId="72" priority="1612" operator="containsText" text="MISSING MARK">
      <formula>NOT(ISERROR(SEARCH("MISSING MARK",P38)))</formula>
    </cfRule>
  </conditionalFormatting>
  <conditionalFormatting sqref="Q38">
    <cfRule type="containsText" dxfId="71" priority="1607" operator="containsText" text="INVALID MARK">
      <formula>NOT(ISERROR(SEARCH("INVALID MARK",Q38)))</formula>
    </cfRule>
    <cfRule type="containsText" dxfId="70" priority="1608" operator="containsText" text="INVALID ENTRY">
      <formula>NOT(ISERROR(SEARCH("INVALID ENTRY",Q38)))</formula>
    </cfRule>
    <cfRule type="containsText" dxfId="69" priority="1609" operator="containsText" text="MISSING MARK">
      <formula>NOT(ISERROR(SEARCH("MISSING MARK",Q38)))</formula>
    </cfRule>
  </conditionalFormatting>
  <conditionalFormatting sqref="K28:K38">
    <cfRule type="containsText" dxfId="68" priority="475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4" t="s">
        <v>75</v>
      </c>
      <c r="G4" s="124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IF(ISOVERMAX(L14:U14)=1,"INVALID MARK",IF(ISOVERMAX(L14:U14)=2,"INVALID ENTRY",IF(COUNT(L14:U14)&lt;COUNT(L$6:U$6),"MISSING MARK",(H14-J14)*K$6)))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7" priority="386" operator="containsText" text="INVALID MARK">
      <formula>NOT(ISERROR(SEARCH("INVALID MARK",I7)))</formula>
    </cfRule>
    <cfRule type="containsText" dxfId="66" priority="387" operator="containsText" text="INVALID ENTRY">
      <formula>NOT(ISERROR(SEARCH("INVALID ENTRY",I7)))</formula>
    </cfRule>
    <cfRule type="containsText" dxfId="65" priority="388" operator="containsText" text="MISSING MARK">
      <formula>NOT(ISERROR(SEARCH("MISSING MARK",I7)))</formula>
    </cfRule>
  </conditionalFormatting>
  <conditionalFormatting sqref="D7">
    <cfRule type="containsText" dxfId="64" priority="216" operator="containsText" text="FAIL">
      <formula>NOT(ISERROR(SEARCH("FAIL",D7)))</formula>
    </cfRule>
    <cfRule type="containsText" dxfId="63" priority="217" operator="containsText" text="PASS">
      <formula>NOT(ISERROR(SEARCH("PASS",D7)))</formula>
    </cfRule>
  </conditionalFormatting>
  <conditionalFormatting sqref="D8:D10">
    <cfRule type="containsText" dxfId="62" priority="201" operator="containsText" text="FAIL">
      <formula>NOT(ISERROR(SEARCH("FAIL",D8)))</formula>
    </cfRule>
    <cfRule type="containsText" dxfId="61" priority="202" operator="containsText" text="PASS">
      <formula>NOT(ISERROR(SEARCH("PASS",D8)))</formula>
    </cfRule>
  </conditionalFormatting>
  <conditionalFormatting sqref="D11:D15">
    <cfRule type="containsText" dxfId="60" priority="196" operator="containsText" text="FAIL">
      <formula>NOT(ISERROR(SEARCH("FAIL",D11)))</formula>
    </cfRule>
    <cfRule type="containsText" dxfId="59" priority="197" operator="containsText" text="PASS">
      <formula>NOT(ISERROR(SEARCH("PASS",D11)))</formula>
    </cfRule>
  </conditionalFormatting>
  <conditionalFormatting sqref="D16">
    <cfRule type="containsText" dxfId="58" priority="191" operator="containsText" text="FAIL">
      <formula>NOT(ISERROR(SEARCH("FAIL",D16)))</formula>
    </cfRule>
    <cfRule type="containsText" dxfId="57" priority="192" operator="containsText" text="PASS">
      <formula>NOT(ISERROR(SEARCH("PASS",D16)))</formula>
    </cfRule>
  </conditionalFormatting>
  <conditionalFormatting sqref="D17">
    <cfRule type="containsText" dxfId="56" priority="171" operator="containsText" text="FAIL">
      <formula>NOT(ISERROR(SEARCH("FAIL",D17)))</formula>
    </cfRule>
    <cfRule type="containsText" dxfId="55" priority="17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21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4" t="s">
        <v>75</v>
      </c>
      <c r="G4" s="124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IF(ISOVERMAX(L13:U13)=1,"INVALID MARK",IF(ISOVERMAX(L13:U13)=2,"INVALID ENTRY",IF(COUNT(L13:U13)&lt;COUNT(L$6:U$6),"MISSING MARK",(H13-J13)*K$6)))</f>
        <v>INVALID ENTRY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</sheetData>
  <mergeCells count="1">
    <mergeCell ref="F4:G4"/>
  </mergeCells>
  <conditionalFormatting sqref="I7:I17">
    <cfRule type="containsText" dxfId="54" priority="208" operator="containsText" text="INVALID MARK">
      <formula>NOT(ISERROR(SEARCH("INVALID MARK",I7)))</formula>
    </cfRule>
    <cfRule type="containsText" dxfId="53" priority="209" operator="containsText" text="INVALID ENTRY">
      <formula>NOT(ISERROR(SEARCH("INVALID ENTRY",I7)))</formula>
    </cfRule>
    <cfRule type="containsText" dxfId="52" priority="210" operator="containsText" text="MISSING MARK">
      <formula>NOT(ISERROR(SEARCH("MISSING MARK",I7)))</formula>
    </cfRule>
  </conditionalFormatting>
  <conditionalFormatting sqref="D7">
    <cfRule type="containsText" dxfId="51" priority="206" operator="containsText" text="FAIL">
      <formula>NOT(ISERROR(SEARCH("FAIL",D7)))</formula>
    </cfRule>
    <cfRule type="containsText" dxfId="50" priority="207" operator="containsText" text="PASS">
      <formula>NOT(ISERROR(SEARCH("PASS",D7)))</formula>
    </cfRule>
  </conditionalFormatting>
  <conditionalFormatting sqref="D8:D10">
    <cfRule type="containsText" dxfId="49" priority="201" operator="containsText" text="FAIL">
      <formula>NOT(ISERROR(SEARCH("FAIL",D8)))</formula>
    </cfRule>
    <cfRule type="containsText" dxfId="48" priority="202" operator="containsText" text="PASS">
      <formula>NOT(ISERROR(SEARCH("PASS",D8)))</formula>
    </cfRule>
  </conditionalFormatting>
  <conditionalFormatting sqref="D11:D15">
    <cfRule type="containsText" dxfId="47" priority="196" operator="containsText" text="FAIL">
      <formula>NOT(ISERROR(SEARCH("FAIL",D11)))</formula>
    </cfRule>
    <cfRule type="containsText" dxfId="46" priority="197" operator="containsText" text="PASS">
      <formula>NOT(ISERROR(SEARCH("PASS",D11)))</formula>
    </cfRule>
  </conditionalFormatting>
  <conditionalFormatting sqref="D16">
    <cfRule type="containsText" dxfId="45" priority="191" operator="containsText" text="FAIL">
      <formula>NOT(ISERROR(SEARCH("FAIL",D16)))</formula>
    </cfRule>
    <cfRule type="containsText" dxfId="44" priority="192" operator="containsText" text="PASS">
      <formula>NOT(ISERROR(SEARCH("PASS",D16)))</formula>
    </cfRule>
  </conditionalFormatting>
  <conditionalFormatting sqref="D17">
    <cfRule type="containsText" dxfId="43" priority="171" operator="containsText" text="FAIL">
      <formula>NOT(ISERROR(SEARCH("FAIL",D17)))</formula>
    </cfRule>
    <cfRule type="containsText" dxfId="42" priority="17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21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4" t="s">
        <v>75</v>
      </c>
      <c r="G4" s="124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IF(ISOVERMAX(L17:U17)=1,"INVALID MARK",IF(ISOVERMAX(L17:U17)=2,"INVALID ENTRY",IF(COUNT(L17:U17)&lt;COUNT(L$6:U$6),"MISSING MARK",(H17-J17)*K$6)))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</sheetData>
  <mergeCells count="1">
    <mergeCell ref="F4:G4"/>
  </mergeCells>
  <conditionalFormatting sqref="I7:I17">
    <cfRule type="containsText" dxfId="41" priority="208" operator="containsText" text="INVALID MARK">
      <formula>NOT(ISERROR(SEARCH("INVALID MARK",I7)))</formula>
    </cfRule>
    <cfRule type="containsText" dxfId="40" priority="209" operator="containsText" text="INVALID ENTRY">
      <formula>NOT(ISERROR(SEARCH("INVALID ENTRY",I7)))</formula>
    </cfRule>
    <cfRule type="containsText" dxfId="39" priority="210" operator="containsText" text="MISSING MARK">
      <formula>NOT(ISERROR(SEARCH("MISSING MARK",I7)))</formula>
    </cfRule>
  </conditionalFormatting>
  <conditionalFormatting sqref="D7">
    <cfRule type="containsText" dxfId="38" priority="206" operator="containsText" text="FAIL">
      <formula>NOT(ISERROR(SEARCH("FAIL",D7)))</formula>
    </cfRule>
    <cfRule type="containsText" dxfId="37" priority="207" operator="containsText" text="PASS">
      <formula>NOT(ISERROR(SEARCH("PASS",D7)))</formula>
    </cfRule>
  </conditionalFormatting>
  <conditionalFormatting sqref="D8:D10">
    <cfRule type="containsText" dxfId="36" priority="201" operator="containsText" text="FAIL">
      <formula>NOT(ISERROR(SEARCH("FAIL",D8)))</formula>
    </cfRule>
    <cfRule type="containsText" dxfId="35" priority="202" operator="containsText" text="PASS">
      <formula>NOT(ISERROR(SEARCH("PASS",D8)))</formula>
    </cfRule>
  </conditionalFormatting>
  <conditionalFormatting sqref="D11:D15">
    <cfRule type="containsText" dxfId="34" priority="196" operator="containsText" text="FAIL">
      <formula>NOT(ISERROR(SEARCH("FAIL",D11)))</formula>
    </cfRule>
    <cfRule type="containsText" dxfId="33" priority="197" operator="containsText" text="PASS">
      <formula>NOT(ISERROR(SEARCH("PASS",D11)))</formula>
    </cfRule>
  </conditionalFormatting>
  <conditionalFormatting sqref="D16">
    <cfRule type="containsText" dxfId="32" priority="191" operator="containsText" text="FAIL">
      <formula>NOT(ISERROR(SEARCH("FAIL",D16)))</formula>
    </cfRule>
    <cfRule type="containsText" dxfId="31" priority="192" operator="containsText" text="PASS">
      <formula>NOT(ISERROR(SEARCH("PASS",D16)))</formula>
    </cfRule>
  </conditionalFormatting>
  <conditionalFormatting sqref="D17">
    <cfRule type="containsText" dxfId="30" priority="171" operator="containsText" text="FAIL">
      <formula>NOT(ISERROR(SEARCH("FAIL",D17)))</formula>
    </cfRule>
    <cfRule type="containsText" dxfId="29" priority="17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21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4" t="s">
        <v>75</v>
      </c>
      <c r="G4" s="124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</sheetData>
  <mergeCells count="1">
    <mergeCell ref="F4:G4"/>
  </mergeCells>
  <conditionalFormatting sqref="I7:I17">
    <cfRule type="containsText" dxfId="28" priority="208" operator="containsText" text="INVALID MARK">
      <formula>NOT(ISERROR(SEARCH("INVALID MARK",I7)))</formula>
    </cfRule>
    <cfRule type="containsText" dxfId="27" priority="209" operator="containsText" text="INVALID ENTRY">
      <formula>NOT(ISERROR(SEARCH("INVALID ENTRY",I7)))</formula>
    </cfRule>
    <cfRule type="containsText" dxfId="26" priority="210" operator="containsText" text="MISSING MARK">
      <formula>NOT(ISERROR(SEARCH("MISSING MARK",I7)))</formula>
    </cfRule>
  </conditionalFormatting>
  <conditionalFormatting sqref="D7">
    <cfRule type="containsText" dxfId="25" priority="206" operator="containsText" text="FAIL">
      <formula>NOT(ISERROR(SEARCH("FAIL",D7)))</formula>
    </cfRule>
    <cfRule type="containsText" dxfId="24" priority="207" operator="containsText" text="PASS">
      <formula>NOT(ISERROR(SEARCH("PASS",D7)))</formula>
    </cfRule>
  </conditionalFormatting>
  <conditionalFormatting sqref="D8:D10">
    <cfRule type="containsText" dxfId="23" priority="201" operator="containsText" text="FAIL">
      <formula>NOT(ISERROR(SEARCH("FAIL",D8)))</formula>
    </cfRule>
    <cfRule type="containsText" dxfId="22" priority="202" operator="containsText" text="PASS">
      <formula>NOT(ISERROR(SEARCH("PASS",D8)))</formula>
    </cfRule>
  </conditionalFormatting>
  <conditionalFormatting sqref="D11:D15">
    <cfRule type="containsText" dxfId="21" priority="196" operator="containsText" text="FAIL">
      <formula>NOT(ISERROR(SEARCH("FAIL",D11)))</formula>
    </cfRule>
    <cfRule type="containsText" dxfId="20" priority="197" operator="containsText" text="PASS">
      <formula>NOT(ISERROR(SEARCH("PASS",D11)))</formula>
    </cfRule>
  </conditionalFormatting>
  <conditionalFormatting sqref="D16">
    <cfRule type="containsText" dxfId="19" priority="191" operator="containsText" text="FAIL">
      <formula>NOT(ISERROR(SEARCH("FAIL",D16)))</formula>
    </cfRule>
    <cfRule type="containsText" dxfId="18" priority="192" operator="containsText" text="PASS">
      <formula>NOT(ISERROR(SEARCH("PASS",D16)))</formula>
    </cfRule>
  </conditionalFormatting>
  <conditionalFormatting sqref="D17">
    <cfRule type="containsText" dxfId="17" priority="171" operator="containsText" text="FAIL">
      <formula>NOT(ISERROR(SEARCH("FAIL",D17)))</formula>
    </cfRule>
    <cfRule type="containsText" dxfId="16" priority="17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4"/>
      <c r="G4" s="124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5" priority="486" operator="containsText" text="INVALID MARK">
      <formula>NOT(ISERROR(SEARCH("INVALID MARK",I7)))</formula>
    </cfRule>
    <cfRule type="containsText" dxfId="14" priority="487" operator="containsText" text="INVALID ENTRY">
      <formula>NOT(ISERROR(SEARCH("INVALID ENTRY",I7)))</formula>
    </cfRule>
    <cfRule type="containsText" dxfId="13" priority="488" operator="containsText" text="MISSING MARK">
      <formula>NOT(ISERROR(SEARCH("MISSING MARK",I7)))</formula>
    </cfRule>
  </conditionalFormatting>
  <conditionalFormatting sqref="D7">
    <cfRule type="containsText" dxfId="12" priority="259" operator="containsText" text="FAIL">
      <formula>NOT(ISERROR(SEARCH("FAIL",D7)))</formula>
    </cfRule>
    <cfRule type="containsText" dxfId="11" priority="260" operator="containsText" text="PASS">
      <formula>NOT(ISERROR(SEARCH("PASS",D7)))</formula>
    </cfRule>
  </conditionalFormatting>
  <conditionalFormatting sqref="D8:D10">
    <cfRule type="containsText" dxfId="10" priority="241" operator="containsText" text="FAIL">
      <formula>NOT(ISERROR(SEARCH("FAIL",D8)))</formula>
    </cfRule>
    <cfRule type="containsText" dxfId="9" priority="242" operator="containsText" text="PASS">
      <formula>NOT(ISERROR(SEARCH("PASS",D8)))</formula>
    </cfRule>
  </conditionalFormatting>
  <conditionalFormatting sqref="H7:H16">
    <cfRule type="containsText" dxfId="8" priority="237" operator="containsText" text="INVALID MARK">
      <formula>NOT(ISERROR(SEARCH("INVALID MARK",H7)))</formula>
    </cfRule>
  </conditionalFormatting>
  <conditionalFormatting sqref="D11:D15">
    <cfRule type="containsText" dxfId="7" priority="235" operator="containsText" text="FAIL">
      <formula>NOT(ISERROR(SEARCH("FAIL",D11)))</formula>
    </cfRule>
    <cfRule type="containsText" dxfId="6" priority="236" operator="containsText" text="PASS">
      <formula>NOT(ISERROR(SEARCH("PASS",D11)))</formula>
    </cfRule>
  </conditionalFormatting>
  <conditionalFormatting sqref="D16">
    <cfRule type="containsText" dxfId="5" priority="229" operator="containsText" text="FAIL">
      <formula>NOT(ISERROR(SEARCH("FAIL",D16)))</formula>
    </cfRule>
    <cfRule type="containsText" dxfId="4" priority="230" operator="containsText" text="PASS">
      <formula>NOT(ISERROR(SEARCH("PASS",D16)))</formula>
    </cfRule>
  </conditionalFormatting>
  <conditionalFormatting sqref="H17">
    <cfRule type="containsText" dxfId="3" priority="210" operator="containsText" text="INVALID MARK">
      <formula>NOT(ISERROR(SEARCH("INVALID MARK",H17)))</formula>
    </cfRule>
  </conditionalFormatting>
  <conditionalFormatting sqref="D17">
    <cfRule type="containsText" dxfId="2" priority="205" operator="containsText" text="FAIL">
      <formula>NOT(ISERROR(SEARCH("FAIL",D17)))</formula>
    </cfRule>
    <cfRule type="containsText" dxfId="1" priority="206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2020-09-26T19:16:48Z</dcterms:modified>
</cp:coreProperties>
</file>