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Front page - Marks Overview" sheetId="1" r:id="rId1"/>
    <sheet name="Attendance sheet" sheetId="59" r:id="rId2"/>
    <sheet name="Test 1" sheetId="54" r:id="rId3"/>
    <sheet name="Test 2" sheetId="55" r:id="rId4"/>
    <sheet name="Oral Assignment 1" sheetId="56" r:id="rId5"/>
    <sheet name="Test 4" sheetId="58" r:id="rId6"/>
    <sheet name="Exam" sheetId="52" r:id="rId7"/>
  </sheets>
  <functionGroups builtInGroupCount="18"/>
  <definedNames>
    <definedName name="_xlnm._FilterDatabase" localSheetId="0" hidden="1">'Front page - Marks Overview'!$D$27:$N$27</definedName>
  </definedNames>
  <calcPr calcId="152511"/>
</workbook>
</file>

<file path=xl/calcChain.xml><?xml version="1.0" encoding="utf-8"?>
<calcChain xmlns="http://schemas.openxmlformats.org/spreadsheetml/2006/main">
  <c r="I38" i="1" l="1"/>
  <c r="I37" i="1"/>
  <c r="I36" i="1"/>
  <c r="I35" i="1"/>
  <c r="I34" i="1"/>
  <c r="I33" i="1"/>
  <c r="I32" i="1"/>
  <c r="I31" i="1"/>
  <c r="I30" i="1"/>
  <c r="I29" i="1"/>
  <c r="I28" i="1"/>
  <c r="M6" i="1" l="1"/>
  <c r="M4" i="1"/>
  <c r="M7" i="1"/>
  <c r="M8" i="1"/>
  <c r="M5" i="1"/>
  <c r="M9" i="1"/>
  <c r="M13" i="1"/>
  <c r="M10" i="1"/>
  <c r="M11" i="1"/>
  <c r="M12" i="1"/>
  <c r="G3" i="52"/>
  <c r="K6" i="52" l="1"/>
  <c r="K8" i="52" l="1"/>
  <c r="K9" i="52"/>
  <c r="K10" i="52"/>
  <c r="K11" i="52"/>
  <c r="K12" i="52"/>
  <c r="K13" i="52"/>
  <c r="K14" i="52"/>
  <c r="K15" i="52"/>
  <c r="K16" i="52"/>
  <c r="K17" i="52"/>
  <c r="K7" i="52"/>
  <c r="G17" i="52" l="1"/>
  <c r="F17" i="52"/>
  <c r="E17" i="52"/>
  <c r="K17" i="58"/>
  <c r="G17" i="58"/>
  <c r="F17" i="58"/>
  <c r="E17" i="58"/>
  <c r="K17" i="56"/>
  <c r="G17" i="56"/>
  <c r="F17" i="56"/>
  <c r="E17" i="56"/>
  <c r="K17" i="55"/>
  <c r="G17" i="55"/>
  <c r="F17" i="55"/>
  <c r="E17" i="55"/>
  <c r="K17" i="54"/>
  <c r="G17" i="54"/>
  <c r="F17" i="54"/>
  <c r="E17" i="54"/>
  <c r="G16" i="52" l="1"/>
  <c r="F16" i="52"/>
  <c r="E16" i="52"/>
  <c r="K16" i="58"/>
  <c r="G16" i="58"/>
  <c r="F16" i="58"/>
  <c r="E16" i="58"/>
  <c r="K16" i="56"/>
  <c r="G16" i="56"/>
  <c r="F16" i="56"/>
  <c r="E16" i="56"/>
  <c r="K16" i="55"/>
  <c r="G16" i="55"/>
  <c r="F16" i="55"/>
  <c r="E16" i="55"/>
  <c r="K16" i="54"/>
  <c r="G16" i="54"/>
  <c r="F16" i="54"/>
  <c r="E16" i="54"/>
  <c r="G15" i="52"/>
  <c r="F15" i="52"/>
  <c r="E15" i="52"/>
  <c r="G14" i="52"/>
  <c r="F14" i="52"/>
  <c r="E14" i="52"/>
  <c r="G13" i="52"/>
  <c r="F13" i="52"/>
  <c r="E13" i="52"/>
  <c r="G12" i="52"/>
  <c r="F12" i="52"/>
  <c r="E12" i="52"/>
  <c r="G11" i="52"/>
  <c r="F11" i="52"/>
  <c r="E11" i="52"/>
  <c r="K15" i="58"/>
  <c r="G15" i="58"/>
  <c r="F15" i="58"/>
  <c r="E15" i="58"/>
  <c r="K14" i="58"/>
  <c r="G14" i="58"/>
  <c r="F14" i="58"/>
  <c r="E14" i="58"/>
  <c r="K13" i="58"/>
  <c r="G13" i="58"/>
  <c r="F13" i="58"/>
  <c r="E13" i="58"/>
  <c r="K12" i="58"/>
  <c r="G12" i="58"/>
  <c r="F12" i="58"/>
  <c r="E12" i="58"/>
  <c r="K11" i="58"/>
  <c r="G11" i="58"/>
  <c r="F11" i="58"/>
  <c r="E11" i="58"/>
  <c r="K15" i="56"/>
  <c r="G15" i="56"/>
  <c r="F15" i="56"/>
  <c r="E15" i="56"/>
  <c r="K14" i="56"/>
  <c r="G14" i="56"/>
  <c r="F14" i="56"/>
  <c r="E14" i="56"/>
  <c r="K13" i="56"/>
  <c r="G13" i="56"/>
  <c r="F13" i="56"/>
  <c r="E13" i="56"/>
  <c r="K12" i="56"/>
  <c r="G12" i="56"/>
  <c r="F12" i="56"/>
  <c r="E12" i="56"/>
  <c r="K11" i="56"/>
  <c r="G11" i="56"/>
  <c r="F11" i="56"/>
  <c r="E11" i="56"/>
  <c r="K15" i="55"/>
  <c r="G15" i="55"/>
  <c r="F15" i="55"/>
  <c r="E15" i="55"/>
  <c r="K14" i="55"/>
  <c r="G14" i="55"/>
  <c r="F14" i="55"/>
  <c r="E14" i="55"/>
  <c r="K13" i="55"/>
  <c r="G13" i="55"/>
  <c r="F13" i="55"/>
  <c r="E13" i="55"/>
  <c r="K12" i="55"/>
  <c r="G12" i="55"/>
  <c r="F12" i="55"/>
  <c r="E12" i="55"/>
  <c r="K11" i="55"/>
  <c r="G11" i="55"/>
  <c r="F11" i="55"/>
  <c r="E11" i="55"/>
  <c r="K15" i="54"/>
  <c r="G15" i="54"/>
  <c r="F15" i="54"/>
  <c r="E15" i="54"/>
  <c r="K14" i="54"/>
  <c r="G14" i="54"/>
  <c r="F14" i="54"/>
  <c r="E14" i="54"/>
  <c r="K13" i="54"/>
  <c r="G13" i="54"/>
  <c r="F13" i="54"/>
  <c r="E13" i="54"/>
  <c r="K12" i="54"/>
  <c r="G12" i="54"/>
  <c r="F12" i="54"/>
  <c r="E12" i="54"/>
  <c r="K11" i="54"/>
  <c r="G11" i="54"/>
  <c r="F11" i="54"/>
  <c r="E11" i="54"/>
  <c r="K10" i="58" l="1"/>
  <c r="G10" i="58"/>
  <c r="F10" i="58"/>
  <c r="E10" i="58"/>
  <c r="K9" i="58"/>
  <c r="G9" i="58"/>
  <c r="F9" i="58"/>
  <c r="E9" i="58"/>
  <c r="K8" i="58"/>
  <c r="G8" i="58"/>
  <c r="F8" i="58"/>
  <c r="E8" i="58"/>
  <c r="K7" i="58"/>
  <c r="G7" i="58"/>
  <c r="F7" i="58"/>
  <c r="E7" i="58"/>
  <c r="K6" i="58"/>
  <c r="D3" i="58"/>
  <c r="K10" i="56"/>
  <c r="G10" i="56"/>
  <c r="F10" i="56"/>
  <c r="E10" i="56"/>
  <c r="K9" i="56"/>
  <c r="G9" i="56"/>
  <c r="F9" i="56"/>
  <c r="E9" i="56"/>
  <c r="K8" i="56"/>
  <c r="G8" i="56"/>
  <c r="F8" i="56"/>
  <c r="E8" i="56"/>
  <c r="K7" i="56"/>
  <c r="G7" i="56"/>
  <c r="F7" i="56"/>
  <c r="E7" i="56"/>
  <c r="K6" i="56"/>
  <c r="D3" i="56"/>
  <c r="P25" i="1" s="1"/>
  <c r="K10" i="55"/>
  <c r="G10" i="55"/>
  <c r="F10" i="55"/>
  <c r="E10" i="55"/>
  <c r="K9" i="55"/>
  <c r="G9" i="55"/>
  <c r="F9" i="55"/>
  <c r="E9" i="55"/>
  <c r="K8" i="55"/>
  <c r="G8" i="55"/>
  <c r="F8" i="55"/>
  <c r="E8" i="55"/>
  <c r="K7" i="55"/>
  <c r="G7" i="55"/>
  <c r="F7" i="55"/>
  <c r="E7" i="55"/>
  <c r="K6" i="55"/>
  <c r="D3" i="55"/>
  <c r="O25" i="1" s="1"/>
  <c r="G10" i="52"/>
  <c r="F10" i="52"/>
  <c r="E10" i="52"/>
  <c r="G9" i="52"/>
  <c r="F9" i="52"/>
  <c r="E9" i="52"/>
  <c r="G8" i="52"/>
  <c r="F8" i="52"/>
  <c r="E8" i="52"/>
  <c r="K10" i="54"/>
  <c r="G10" i="54"/>
  <c r="F10" i="54"/>
  <c r="E10" i="54"/>
  <c r="K9" i="54"/>
  <c r="G9" i="54"/>
  <c r="F9" i="54"/>
  <c r="E9" i="54"/>
  <c r="K8" i="54"/>
  <c r="G8" i="54"/>
  <c r="F8" i="54"/>
  <c r="E8" i="54"/>
  <c r="Q25" i="1" l="1"/>
  <c r="H17" i="55"/>
  <c r="H14" i="58"/>
  <c r="H17" i="58"/>
  <c r="H15" i="56"/>
  <c r="H17" i="56"/>
  <c r="H15" i="58"/>
  <c r="H13" i="56"/>
  <c r="H16" i="56"/>
  <c r="H11" i="56"/>
  <c r="H13" i="55"/>
  <c r="H15" i="55"/>
  <c r="H13" i="58"/>
  <c r="H16" i="58"/>
  <c r="H11" i="58"/>
  <c r="H12" i="58"/>
  <c r="H14" i="56"/>
  <c r="H12" i="56"/>
  <c r="H12" i="55"/>
  <c r="H14" i="55"/>
  <c r="H16" i="55"/>
  <c r="H11" i="55"/>
  <c r="H9" i="58"/>
  <c r="H7" i="55"/>
  <c r="H9" i="55"/>
  <c r="H7" i="58"/>
  <c r="I6" i="58"/>
  <c r="Q27" i="1" s="1"/>
  <c r="H8" i="58"/>
  <c r="H10" i="58"/>
  <c r="H10" i="56"/>
  <c r="H7" i="56"/>
  <c r="H9" i="56"/>
  <c r="H8" i="56"/>
  <c r="I6" i="56"/>
  <c r="P27" i="1" s="1"/>
  <c r="I6" i="55"/>
  <c r="O27" i="1" s="1"/>
  <c r="H8" i="55"/>
  <c r="H10" i="55"/>
  <c r="I7" i="58"/>
  <c r="I13" i="58"/>
  <c r="I15" i="58"/>
  <c r="I14" i="58"/>
  <c r="I8" i="58"/>
  <c r="I10" i="58"/>
  <c r="I11" i="58"/>
  <c r="I12" i="58"/>
  <c r="I16" i="58"/>
  <c r="I9" i="58"/>
  <c r="I13" i="56"/>
  <c r="I9" i="56"/>
  <c r="I16" i="56"/>
  <c r="I14" i="56"/>
  <c r="I8" i="56"/>
  <c r="I10" i="56"/>
  <c r="I11" i="56"/>
  <c r="I12" i="56"/>
  <c r="I15" i="56"/>
  <c r="I17" i="56"/>
  <c r="I7" i="56"/>
  <c r="I15" i="55"/>
  <c r="I14" i="55"/>
  <c r="I8" i="55"/>
  <c r="I11" i="55"/>
  <c r="I16" i="55"/>
  <c r="I10" i="55"/>
  <c r="I7" i="55"/>
  <c r="I9" i="55"/>
  <c r="I13" i="55"/>
  <c r="I12" i="55"/>
  <c r="D15" i="56" l="1"/>
  <c r="D17" i="56"/>
  <c r="D14" i="58"/>
  <c r="D13" i="55"/>
  <c r="D17" i="55"/>
  <c r="D15" i="58"/>
  <c r="D11" i="58"/>
  <c r="D17" i="58"/>
  <c r="D12" i="58"/>
  <c r="D14" i="56"/>
  <c r="D12" i="56"/>
  <c r="D11" i="56"/>
  <c r="D16" i="56"/>
  <c r="D11" i="55"/>
  <c r="D14" i="55"/>
  <c r="D12" i="55"/>
  <c r="D13" i="56"/>
  <c r="D15" i="55"/>
  <c r="D16" i="58"/>
  <c r="D13" i="58"/>
  <c r="D16" i="55"/>
  <c r="D9" i="58"/>
  <c r="D7" i="55"/>
  <c r="D9" i="55"/>
  <c r="D10" i="58"/>
  <c r="D8" i="58"/>
  <c r="D7" i="58"/>
  <c r="D10" i="55"/>
  <c r="D8" i="55"/>
  <c r="D10" i="56"/>
  <c r="D9" i="56"/>
  <c r="D8" i="56"/>
  <c r="D7" i="56"/>
  <c r="G7" i="52"/>
  <c r="F7" i="52"/>
  <c r="E7" i="52"/>
  <c r="K7" i="54"/>
  <c r="G7" i="54"/>
  <c r="F7" i="54"/>
  <c r="E7" i="54"/>
  <c r="N27" i="1" l="1"/>
  <c r="M27" i="1" s="1"/>
  <c r="K6" i="54" l="1"/>
  <c r="D3" i="54"/>
  <c r="N25" i="1" s="1"/>
  <c r="H17" i="54" l="1"/>
  <c r="H16" i="54"/>
  <c r="H13" i="54"/>
  <c r="H15" i="54"/>
  <c r="H14" i="54"/>
  <c r="H11" i="54"/>
  <c r="H12" i="54"/>
  <c r="H9" i="54"/>
  <c r="H8" i="54"/>
  <c r="H10" i="54"/>
  <c r="H7" i="54"/>
  <c r="I6" i="54"/>
  <c r="I9" i="54"/>
  <c r="I8" i="54"/>
  <c r="I12" i="54"/>
  <c r="I16" i="54"/>
  <c r="I10" i="54"/>
  <c r="I13" i="54"/>
  <c r="I7" i="54"/>
  <c r="I15" i="54"/>
  <c r="I11" i="54"/>
  <c r="I14" i="54"/>
  <c r="N33" i="1" l="1"/>
  <c r="N29" i="1"/>
  <c r="N30" i="1"/>
  <c r="N32" i="1"/>
  <c r="N34" i="1"/>
  <c r="N31" i="1"/>
  <c r="D14" i="54"/>
  <c r="D16" i="54"/>
  <c r="D17" i="54"/>
  <c r="D7" i="54"/>
  <c r="D15" i="54"/>
  <c r="D13" i="54"/>
  <c r="D12" i="54"/>
  <c r="D11" i="54"/>
  <c r="D10" i="54"/>
  <c r="D8" i="54"/>
  <c r="D9" i="54"/>
  <c r="H17" i="52" l="1"/>
  <c r="H15" i="52"/>
  <c r="H16" i="52"/>
  <c r="H12" i="52"/>
  <c r="H14" i="52"/>
  <c r="H11" i="52"/>
  <c r="H13" i="52"/>
  <c r="H8" i="52"/>
  <c r="H10" i="52"/>
  <c r="H9" i="52"/>
  <c r="H7" i="52"/>
  <c r="I6" i="52"/>
  <c r="G5" i="52"/>
  <c r="F5" i="52"/>
  <c r="E5" i="52"/>
  <c r="D3" i="52"/>
  <c r="I16" i="52"/>
  <c r="I7" i="52"/>
  <c r="I12" i="52"/>
  <c r="I14" i="52"/>
  <c r="I11" i="52"/>
  <c r="I9" i="52"/>
  <c r="I13" i="52"/>
  <c r="I8" i="52"/>
  <c r="I10" i="52"/>
  <c r="I15" i="52"/>
  <c r="K28" i="1" l="1"/>
  <c r="K31" i="1"/>
  <c r="K33" i="1"/>
  <c r="K32" i="1"/>
  <c r="K29" i="1"/>
  <c r="K30" i="1"/>
  <c r="D11" i="52"/>
  <c r="D9" i="52"/>
  <c r="K34" i="1"/>
  <c r="D8" i="52"/>
  <c r="D17" i="52"/>
  <c r="D12" i="52"/>
  <c r="D7" i="52" l="1"/>
  <c r="D10" i="52" l="1"/>
  <c r="D14" i="52" l="1"/>
  <c r="D16" i="52"/>
  <c r="D13" i="52"/>
  <c r="D15" i="52"/>
  <c r="Q33" i="1" l="1"/>
  <c r="Q34" i="1"/>
  <c r="Q29" i="1"/>
  <c r="Q32" i="1"/>
  <c r="Q30" i="1"/>
  <c r="Q31" i="1"/>
  <c r="Q28" i="1"/>
  <c r="P28" i="1"/>
  <c r="P29" i="1"/>
  <c r="P30" i="1"/>
  <c r="P31" i="1"/>
  <c r="P32" i="1"/>
  <c r="P33" i="1"/>
  <c r="P34" i="1"/>
  <c r="O29" i="1"/>
  <c r="O32" i="1"/>
  <c r="M32" i="1" s="1"/>
  <c r="O33" i="1"/>
  <c r="O34" i="1"/>
  <c r="O30" i="1"/>
  <c r="O31" i="1"/>
  <c r="O28" i="1"/>
  <c r="N28" i="1"/>
  <c r="M29" i="1" l="1"/>
  <c r="M28" i="1"/>
  <c r="M31" i="1"/>
  <c r="M30" i="1"/>
  <c r="M34" i="1"/>
  <c r="M33" i="1"/>
  <c r="N26" i="1"/>
  <c r="P26" i="1"/>
  <c r="L32" i="1" l="1"/>
  <c r="J32" i="1" s="1"/>
  <c r="L29" i="1"/>
  <c r="J29" i="1" s="1"/>
  <c r="L31" i="1"/>
  <c r="J31" i="1" s="1"/>
  <c r="L33" i="1"/>
  <c r="J33" i="1" s="1"/>
  <c r="L34" i="1"/>
  <c r="J34" i="1" s="1"/>
  <c r="L30" i="1"/>
  <c r="J30" i="1" s="1"/>
  <c r="L28" i="1"/>
  <c r="J28" i="1" s="1"/>
  <c r="Q26" i="1"/>
  <c r="O26" i="1"/>
  <c r="G32" i="1" l="1"/>
  <c r="H32" i="1"/>
  <c r="G31" i="1"/>
  <c r="H31" i="1"/>
  <c r="G29" i="1"/>
  <c r="H29" i="1"/>
  <c r="H33" i="1"/>
  <c r="G33" i="1"/>
  <c r="G34" i="1"/>
  <c r="H34" i="1"/>
  <c r="G30" i="1"/>
  <c r="H30" i="1"/>
  <c r="G28" i="1"/>
  <c r="H28" i="1"/>
  <c r="P36" i="1"/>
  <c r="Q36" i="1"/>
  <c r="O35" i="1"/>
  <c r="P38" i="1"/>
  <c r="N36" i="1"/>
  <c r="I17" i="58"/>
  <c r="I17" i="55"/>
  <c r="I17" i="54"/>
  <c r="Q38" i="1" l="1"/>
  <c r="O38" i="1"/>
  <c r="N38" i="1"/>
  <c r="O36" i="1"/>
  <c r="M36" i="1" s="1"/>
  <c r="Q35" i="1"/>
  <c r="N35" i="1"/>
  <c r="M38" i="1" l="1"/>
  <c r="L38" i="1" s="1"/>
  <c r="L36" i="1"/>
  <c r="P35" i="1"/>
  <c r="M35" i="1" s="1"/>
  <c r="I17" i="52"/>
  <c r="K38" i="1" l="1"/>
  <c r="J38" i="1" s="1"/>
  <c r="G38" i="1" s="1"/>
  <c r="L35" i="1"/>
  <c r="O37" i="1"/>
  <c r="P37" i="1"/>
  <c r="Q37" i="1"/>
  <c r="K36" i="1"/>
  <c r="H38" i="1" l="1"/>
  <c r="J36" i="1"/>
  <c r="H36" i="1" s="1"/>
  <c r="N37" i="1"/>
  <c r="M37" i="1" s="1"/>
  <c r="L37" i="1" l="1"/>
  <c r="G36" i="1"/>
  <c r="K37" i="1"/>
  <c r="J37" i="1" l="1"/>
  <c r="G37" i="1" s="1"/>
  <c r="K35" i="1"/>
  <c r="J35" i="1" l="1"/>
  <c r="H37" i="1"/>
  <c r="M18" i="1" l="1"/>
  <c r="M17" i="1"/>
  <c r="M19" i="1"/>
  <c r="G35" i="1"/>
  <c r="M16" i="1" s="1"/>
  <c r="H35" i="1"/>
  <c r="M14" i="1" l="1"/>
  <c r="M15" i="1"/>
</calcChain>
</file>

<file path=xl/sharedStrings.xml><?xml version="1.0" encoding="utf-8"?>
<sst xmlns="http://schemas.openxmlformats.org/spreadsheetml/2006/main" count="201" uniqueCount="105">
  <si>
    <t>Final Mark</t>
  </si>
  <si>
    <t>Student Name</t>
  </si>
  <si>
    <t>Student Number</t>
  </si>
  <si>
    <t>Student Surname</t>
  </si>
  <si>
    <t>Final Exam (%)</t>
  </si>
  <si>
    <t>Totals:</t>
  </si>
  <si>
    <t>Test Name:</t>
  </si>
  <si>
    <t>Deductions</t>
  </si>
  <si>
    <t>Final Percentage</t>
  </si>
  <si>
    <t>Final Mark (%)</t>
  </si>
  <si>
    <t>Final Mark (Before Deductions)</t>
  </si>
  <si>
    <t>Percentage of Final Mark:</t>
  </si>
  <si>
    <t>Date:</t>
  </si>
  <si>
    <t>Lecturer:</t>
  </si>
  <si>
    <t>Subject Code:</t>
  </si>
  <si>
    <t>Subject:</t>
  </si>
  <si>
    <t>80-100%</t>
  </si>
  <si>
    <t>75-79%</t>
  </si>
  <si>
    <t>70-74%</t>
  </si>
  <si>
    <t>65-69%</t>
  </si>
  <si>
    <t>60-64%</t>
  </si>
  <si>
    <t>55-59%</t>
  </si>
  <si>
    <t>50-54%</t>
  </si>
  <si>
    <t>45-49%</t>
  </si>
  <si>
    <t># of students</t>
  </si>
  <si>
    <t>Grade</t>
  </si>
  <si>
    <t>% Range</t>
  </si>
  <si>
    <t># of passes:</t>
  </si>
  <si>
    <t># of fails:</t>
  </si>
  <si>
    <t>0-39%</t>
  </si>
  <si>
    <t>40-44%</t>
  </si>
  <si>
    <t>A</t>
  </si>
  <si>
    <t>C</t>
  </si>
  <si>
    <t>B+</t>
  </si>
  <si>
    <t>C+</t>
  </si>
  <si>
    <t>C-</t>
  </si>
  <si>
    <t>D</t>
  </si>
  <si>
    <t>B-</t>
  </si>
  <si>
    <t>F</t>
  </si>
  <si>
    <t>Supp. Exams:</t>
  </si>
  <si>
    <t>Range:</t>
  </si>
  <si>
    <t>Average:</t>
  </si>
  <si>
    <t>Std Deviation:</t>
  </si>
  <si>
    <t>Exam Subminimum:</t>
  </si>
  <si>
    <t>Pass?</t>
  </si>
  <si>
    <t>Supp. Exam</t>
  </si>
  <si>
    <t>Final Mark Sup. Threshold:</t>
  </si>
  <si>
    <t>Exam Sup. Threshold:</t>
  </si>
  <si>
    <t>Final Mark Subminimum:</t>
  </si>
  <si>
    <t>Semester Work Mark</t>
  </si>
  <si>
    <t>B</t>
  </si>
  <si>
    <t>Number of Students:</t>
  </si>
  <si>
    <t>Number of Tests:</t>
  </si>
  <si>
    <t>Totals Marks:</t>
  </si>
  <si>
    <t>Semester Work (%)</t>
  </si>
  <si>
    <t xml:space="preserve">Section 1 </t>
  </si>
  <si>
    <t xml:space="preserve">Section 2 </t>
  </si>
  <si>
    <t>Section 3</t>
  </si>
  <si>
    <t>Section 4</t>
  </si>
  <si>
    <t>Section 5</t>
  </si>
  <si>
    <t>Section 6</t>
  </si>
  <si>
    <t>Section 7</t>
  </si>
  <si>
    <t>Section 8</t>
  </si>
  <si>
    <t>Section 9</t>
  </si>
  <si>
    <t>Section 10</t>
  </si>
  <si>
    <t>Set the # of students you have in your class</t>
  </si>
  <si>
    <t>Set the # of tests/assignments you have</t>
  </si>
  <si>
    <t>Some helpful instructions</t>
  </si>
  <si>
    <t>Minimum final mark to pass the course</t>
  </si>
  <si>
    <t>Minimum final mark to write the sup. exam</t>
  </si>
  <si>
    <t>Minimum exam mark to write the sup. exam</t>
  </si>
  <si>
    <t>Minimum exam mark to pass the course</t>
  </si>
  <si>
    <t>Rubric:</t>
  </si>
  <si>
    <t xml:space="preserve">Example rubric for section 1 </t>
  </si>
  <si>
    <t>Test Subminimum:</t>
  </si>
  <si>
    <t>If this assessment does not have a subminimum, leave this as 0%</t>
  </si>
  <si>
    <t>Example</t>
  </si>
  <si>
    <t>Student</t>
  </si>
  <si>
    <t>01234</t>
  </si>
  <si>
    <t>Diligent</t>
  </si>
  <si>
    <t>Failing</t>
  </si>
  <si>
    <t>54321</t>
  </si>
  <si>
    <t>13450</t>
  </si>
  <si>
    <t>05020</t>
  </si>
  <si>
    <t>I Am</t>
  </si>
  <si>
    <t>Just</t>
  </si>
  <si>
    <t>Passing</t>
  </si>
  <si>
    <t>Getting A</t>
  </si>
  <si>
    <t>Supp</t>
  </si>
  <si>
    <r>
      <t>Stude</t>
    </r>
    <r>
      <rPr>
        <sz val="11"/>
        <color rgb="FF333333"/>
        <rFont val="Calibri"/>
        <family val="2"/>
        <scheme val="minor"/>
      </rPr>
      <t>nt</t>
    </r>
  </si>
  <si>
    <t>60254</t>
  </si>
  <si>
    <t>Also Getting</t>
  </si>
  <si>
    <t>A Supp</t>
  </si>
  <si>
    <t>01010</t>
  </si>
  <si>
    <t>Invalid</t>
  </si>
  <si>
    <t>Mark</t>
  </si>
  <si>
    <t>Missing</t>
  </si>
  <si>
    <t>98350</t>
  </si>
  <si>
    <t>10425</t>
  </si>
  <si>
    <t>Another Invalid</t>
  </si>
  <si>
    <t>54263</t>
  </si>
  <si>
    <t>Invalid &amp; missing</t>
  </si>
  <si>
    <t>Marks</t>
  </si>
  <si>
    <t>96452</t>
  </si>
  <si>
    <t>A+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</si>
</sst>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3333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ABF34B"/>
        <bgColor indexed="64"/>
      </patternFill>
    </fill>
    <fill>
      <patternFill patternType="solid">
        <fgColor rgb="FFDFF34B"/>
        <bgColor indexed="64"/>
      </patternFill>
    </fill>
    <fill>
      <patternFill patternType="solid">
        <fgColor rgb="FFF3EB4B"/>
        <bgColor indexed="64"/>
      </patternFill>
    </fill>
    <fill>
      <patternFill patternType="solid">
        <fgColor rgb="FFF3AB4B"/>
        <bgColor indexed="64"/>
      </patternFill>
    </fill>
    <fill>
      <patternFill patternType="solid">
        <fgColor rgb="FFF36B4B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" fillId="4" borderId="15" applyNumberFormat="0" applyFont="0" applyAlignment="0" applyProtection="0"/>
    <xf numFmtId="0" fontId="6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126">
    <xf numFmtId="0" fontId="0" fillId="0" borderId="0" xfId="0"/>
    <xf numFmtId="0" fontId="2" fillId="0" borderId="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9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2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1" applyNumberFormat="1" applyFont="1" applyAlignment="1">
      <alignment horizontal="center" vertical="center"/>
    </xf>
    <xf numFmtId="0" fontId="4" fillId="0" borderId="0" xfId="1" applyNumberFormat="1" applyFont="1" applyAlignment="1">
      <alignment horizontal="right"/>
    </xf>
    <xf numFmtId="0" fontId="3" fillId="0" borderId="0" xfId="1" applyNumberFormat="1" applyFont="1" applyAlignment="1">
      <alignment horizontal="center"/>
    </xf>
    <xf numFmtId="0" fontId="3" fillId="0" borderId="0" xfId="1" applyNumberFormat="1" applyFont="1" applyAlignment="1">
      <alignment horizontal="center" vertical="center"/>
    </xf>
    <xf numFmtId="9" fontId="3" fillId="0" borderId="0" xfId="1" applyFont="1" applyAlignment="1">
      <alignment horizontal="center"/>
    </xf>
    <xf numFmtId="0" fontId="0" fillId="0" borderId="0" xfId="1" applyNumberFormat="1" applyFont="1" applyAlignment="1">
      <alignment horizontal="center" vertical="center"/>
    </xf>
    <xf numFmtId="10" fontId="0" fillId="0" borderId="0" xfId="1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2" fillId="0" borderId="0" xfId="0" applyFont="1" applyAlignment="1">
      <alignment horizontal="right"/>
    </xf>
    <xf numFmtId="9" fontId="2" fillId="2" borderId="2" xfId="1" applyFont="1" applyFill="1" applyBorder="1" applyAlignment="1">
      <alignment horizontal="center"/>
    </xf>
    <xf numFmtId="1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 vertical="center"/>
    </xf>
    <xf numFmtId="0" fontId="2" fillId="2" borderId="12" xfId="0" applyFont="1" applyFill="1" applyBorder="1" applyAlignment="1">
      <alignment horizontal="right"/>
    </xf>
    <xf numFmtId="0" fontId="2" fillId="2" borderId="1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0" fillId="0" borderId="0" xfId="1" applyFont="1" applyBorder="1" applyAlignment="1">
      <alignment horizontal="center" vertical="center"/>
    </xf>
    <xf numFmtId="0" fontId="2" fillId="3" borderId="12" xfId="0" applyFont="1" applyFill="1" applyBorder="1" applyAlignment="1">
      <alignment horizontal="right"/>
    </xf>
    <xf numFmtId="0" fontId="2" fillId="3" borderId="1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" xfId="0" applyNumberFormat="1" applyFont="1" applyFill="1" applyBorder="1" applyAlignment="1">
      <alignment horizontal="center"/>
    </xf>
    <xf numFmtId="46" fontId="0" fillId="0" borderId="0" xfId="0" applyNumberFormat="1"/>
    <xf numFmtId="0" fontId="3" fillId="0" borderId="0" xfId="1" applyNumberFormat="1" applyFont="1" applyBorder="1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1" xfId="0" applyBorder="1" applyAlignment="1"/>
    <xf numFmtId="0" fontId="1" fillId="7" borderId="7" xfId="5" applyBorder="1" applyAlignment="1">
      <alignment horizontal="right"/>
    </xf>
    <xf numFmtId="9" fontId="1" fillId="7" borderId="7" xfId="5" applyNumberFormat="1" applyBorder="1" applyAlignment="1">
      <alignment horizontal="center" vertical="center"/>
    </xf>
    <xf numFmtId="0" fontId="1" fillId="7" borderId="8" xfId="5" applyBorder="1" applyAlignment="1">
      <alignment horizontal="right"/>
    </xf>
    <xf numFmtId="9" fontId="1" fillId="7" borderId="8" xfId="5" applyNumberFormat="1" applyBorder="1" applyAlignment="1">
      <alignment horizontal="center" vertical="center"/>
    </xf>
    <xf numFmtId="0" fontId="1" fillId="6" borderId="8" xfId="4" applyBorder="1" applyAlignment="1">
      <alignment horizontal="right"/>
    </xf>
    <xf numFmtId="9" fontId="1" fillId="6" borderId="8" xfId="4" applyNumberFormat="1" applyBorder="1" applyAlignment="1">
      <alignment horizontal="center" vertical="center"/>
    </xf>
    <xf numFmtId="0" fontId="1" fillId="6" borderId="6" xfId="4" applyBorder="1" applyAlignment="1">
      <alignment horizontal="right"/>
    </xf>
    <xf numFmtId="9" fontId="1" fillId="6" borderId="6" xfId="4" applyNumberFormat="1" applyBorder="1" applyAlignment="1">
      <alignment horizontal="center" vertical="center"/>
    </xf>
    <xf numFmtId="0" fontId="6" fillId="5" borderId="12" xfId="3" applyBorder="1" applyAlignment="1">
      <alignment horizontal="center"/>
    </xf>
    <xf numFmtId="0" fontId="6" fillId="5" borderId="3" xfId="3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0" fillId="9" borderId="19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1" fillId="6" borderId="11" xfId="4" applyBorder="1" applyAlignment="1">
      <alignment horizontal="center"/>
    </xf>
    <xf numFmtId="0" fontId="1" fillId="6" borderId="13" xfId="4" applyBorder="1" applyAlignment="1">
      <alignment horizontal="center"/>
    </xf>
    <xf numFmtId="10" fontId="1" fillId="6" borderId="11" xfId="4" applyNumberFormat="1" applyBorder="1" applyAlignment="1">
      <alignment horizontal="center"/>
    </xf>
    <xf numFmtId="10" fontId="1" fillId="6" borderId="5" xfId="4" applyNumberFormat="1" applyBorder="1" applyAlignment="1">
      <alignment horizontal="center"/>
    </xf>
    <xf numFmtId="0" fontId="2" fillId="7" borderId="12" xfId="5" applyFont="1" applyBorder="1" applyAlignment="1">
      <alignment horizontal="center"/>
    </xf>
    <xf numFmtId="0" fontId="2" fillId="7" borderId="2" xfId="5" applyFont="1" applyBorder="1" applyAlignment="1">
      <alignment horizontal="center"/>
    </xf>
    <xf numFmtId="0" fontId="2" fillId="7" borderId="2" xfId="5" applyNumberFormat="1" applyFont="1" applyBorder="1" applyAlignment="1">
      <alignment horizontal="center"/>
    </xf>
    <xf numFmtId="0" fontId="1" fillId="7" borderId="3" xfId="5" applyBorder="1"/>
    <xf numFmtId="0" fontId="1" fillId="6" borderId="5" xfId="4" applyBorder="1"/>
    <xf numFmtId="0" fontId="1" fillId="7" borderId="5" xfId="5" applyBorder="1"/>
    <xf numFmtId="0" fontId="2" fillId="3" borderId="2" xfId="1" applyNumberFormat="1" applyFont="1" applyFill="1" applyBorder="1" applyAlignment="1">
      <alignment horizontal="center"/>
    </xf>
    <xf numFmtId="0" fontId="2" fillId="7" borderId="34" xfId="5" applyFont="1" applyBorder="1" applyAlignment="1">
      <alignment horizontal="center"/>
    </xf>
    <xf numFmtId="9" fontId="2" fillId="2" borderId="34" xfId="1" applyFont="1" applyFill="1" applyBorder="1" applyAlignment="1">
      <alignment horizontal="center"/>
    </xf>
    <xf numFmtId="9" fontId="2" fillId="3" borderId="34" xfId="1" applyFont="1" applyFill="1" applyBorder="1" applyAlignment="1">
      <alignment horizontal="center"/>
    </xf>
    <xf numFmtId="0" fontId="0" fillId="0" borderId="0" xfId="4" applyNumberFormat="1" applyFont="1" applyFill="1" applyAlignment="1">
      <alignment horizontal="center" vertical="center"/>
    </xf>
    <xf numFmtId="0" fontId="1" fillId="0" borderId="0" xfId="4" applyFill="1" applyBorder="1" applyAlignment="1">
      <alignment horizontal="center"/>
    </xf>
    <xf numFmtId="0" fontId="1" fillId="0" borderId="0" xfId="4" applyNumberFormat="1" applyFill="1" applyBorder="1" applyAlignment="1">
      <alignment horizontal="center"/>
    </xf>
    <xf numFmtId="0" fontId="4" fillId="2" borderId="1" xfId="1" applyNumberFormat="1" applyFont="1" applyFill="1" applyBorder="1" applyAlignment="1">
      <alignment horizontal="right"/>
    </xf>
    <xf numFmtId="0" fontId="3" fillId="2" borderId="2" xfId="1" applyNumberFormat="1" applyFont="1" applyFill="1" applyBorder="1" applyAlignment="1">
      <alignment horizontal="center"/>
    </xf>
    <xf numFmtId="9" fontId="3" fillId="2" borderId="2" xfId="1" applyFont="1" applyFill="1" applyBorder="1" applyAlignment="1">
      <alignment horizontal="center"/>
    </xf>
    <xf numFmtId="0" fontId="3" fillId="2" borderId="1" xfId="1" applyNumberFormat="1" applyFont="1" applyFill="1" applyBorder="1" applyAlignment="1">
      <alignment horizontal="center" vertical="center"/>
    </xf>
    <xf numFmtId="0" fontId="3" fillId="2" borderId="12" xfId="1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9" fontId="2" fillId="7" borderId="2" xfId="5" applyNumberFormat="1" applyFont="1" applyBorder="1" applyAlignment="1">
      <alignment horizontal="center"/>
    </xf>
    <xf numFmtId="0" fontId="2" fillId="7" borderId="2" xfId="5" applyNumberFormat="1" applyFont="1" applyBorder="1" applyAlignment="1">
      <alignment horizontal="center" vertical="center"/>
    </xf>
    <xf numFmtId="9" fontId="2" fillId="7" borderId="1" xfId="5" applyNumberFormat="1" applyFont="1" applyBorder="1" applyAlignment="1">
      <alignment horizontal="center" vertical="center"/>
    </xf>
    <xf numFmtId="0" fontId="2" fillId="7" borderId="14" xfId="5" applyNumberFormat="1" applyFont="1" applyBorder="1" applyAlignment="1">
      <alignment horizontal="center" vertical="center"/>
    </xf>
    <xf numFmtId="0" fontId="2" fillId="7" borderId="14" xfId="5" applyFont="1" applyBorder="1" applyAlignment="1">
      <alignment horizontal="center" vertical="center"/>
    </xf>
    <xf numFmtId="0" fontId="2" fillId="7" borderId="2" xfId="5" applyFont="1" applyBorder="1" applyAlignment="1">
      <alignment horizontal="center" vertical="center"/>
    </xf>
    <xf numFmtId="49" fontId="0" fillId="0" borderId="0" xfId="4" applyNumberFormat="1" applyFont="1" applyFill="1" applyBorder="1" applyAlignment="1">
      <alignment horizontal="center" vertical="center"/>
    </xf>
    <xf numFmtId="10" fontId="1" fillId="0" borderId="0" xfId="4" applyNumberFormat="1" applyFill="1" applyBorder="1" applyAlignment="1">
      <alignment horizontal="center"/>
    </xf>
    <xf numFmtId="0" fontId="0" fillId="7" borderId="5" xfId="5" applyFont="1" applyBorder="1"/>
    <xf numFmtId="0" fontId="0" fillId="6" borderId="5" xfId="4" applyFont="1" applyBorder="1"/>
    <xf numFmtId="0" fontId="0" fillId="0" borderId="12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7" fillId="0" borderId="1" xfId="1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0" fontId="2" fillId="2" borderId="2" xfId="1" applyNumberFormat="1" applyFont="1" applyFill="1" applyBorder="1" applyAlignment="1">
      <alignment horizontal="center"/>
    </xf>
    <xf numFmtId="0" fontId="2" fillId="7" borderId="38" xfId="5" applyFont="1" applyBorder="1" applyAlignment="1">
      <alignment horizontal="center"/>
    </xf>
    <xf numFmtId="9" fontId="2" fillId="2" borderId="38" xfId="1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/>
    </xf>
    <xf numFmtId="0" fontId="0" fillId="0" borderId="0" xfId="4" applyNumberFormat="1" applyFont="1" applyFill="1" applyBorder="1" applyAlignment="1">
      <alignment horizontal="center" vertical="center"/>
    </xf>
    <xf numFmtId="9" fontId="0" fillId="0" borderId="0" xfId="1" applyFont="1"/>
    <xf numFmtId="164" fontId="0" fillId="0" borderId="0" xfId="0" applyNumberFormat="1"/>
    <xf numFmtId="0" fontId="0" fillId="13" borderId="28" xfId="2" applyFont="1" applyFill="1" applyBorder="1" applyAlignment="1">
      <alignment horizontal="center" vertical="center"/>
    </xf>
    <xf numFmtId="0" fontId="0" fillId="13" borderId="29" xfId="2" applyFont="1" applyFill="1" applyBorder="1" applyAlignment="1">
      <alignment horizontal="center" vertical="center"/>
    </xf>
    <xf numFmtId="0" fontId="0" fillId="13" borderId="30" xfId="2" applyFont="1" applyFill="1" applyBorder="1" applyAlignment="1">
      <alignment horizontal="center" vertical="center"/>
    </xf>
    <xf numFmtId="0" fontId="0" fillId="13" borderId="26" xfId="2" applyFont="1" applyFill="1" applyBorder="1" applyAlignment="1">
      <alignment horizontal="center" vertical="center"/>
    </xf>
    <xf numFmtId="0" fontId="0" fillId="13" borderId="16" xfId="2" applyFont="1" applyFill="1" applyBorder="1" applyAlignment="1">
      <alignment horizontal="center" vertical="center"/>
    </xf>
    <xf numFmtId="0" fontId="0" fillId="13" borderId="27" xfId="2" applyFont="1" applyFill="1" applyBorder="1" applyAlignment="1">
      <alignment horizontal="center" vertical="center"/>
    </xf>
    <xf numFmtId="0" fontId="2" fillId="13" borderId="21" xfId="2" applyFont="1" applyFill="1" applyBorder="1" applyAlignment="1">
      <alignment horizontal="center" vertical="center"/>
    </xf>
    <xf numFmtId="0" fontId="2" fillId="13" borderId="22" xfId="2" applyFont="1" applyFill="1" applyBorder="1" applyAlignment="1">
      <alignment horizontal="center" vertical="center"/>
    </xf>
    <xf numFmtId="0" fontId="2" fillId="13" borderId="23" xfId="2" applyFont="1" applyFill="1" applyBorder="1" applyAlignment="1">
      <alignment horizontal="center" vertical="center"/>
    </xf>
    <xf numFmtId="0" fontId="2" fillId="13" borderId="24" xfId="2" applyFont="1" applyFill="1" applyBorder="1" applyAlignment="1">
      <alignment horizontal="center" vertical="center"/>
    </xf>
    <xf numFmtId="0" fontId="2" fillId="13" borderId="17" xfId="2" applyFont="1" applyFill="1" applyBorder="1" applyAlignment="1">
      <alignment horizontal="center" vertical="center"/>
    </xf>
    <xf numFmtId="0" fontId="2" fillId="13" borderId="25" xfId="2" applyFont="1" applyFill="1" applyBorder="1" applyAlignment="1">
      <alignment horizontal="center" vertical="center"/>
    </xf>
    <xf numFmtId="0" fontId="0" fillId="13" borderId="31" xfId="2" applyFont="1" applyFill="1" applyBorder="1" applyAlignment="1">
      <alignment horizontal="center" vertical="center"/>
    </xf>
    <xf numFmtId="0" fontId="0" fillId="13" borderId="32" xfId="2" applyFont="1" applyFill="1" applyBorder="1" applyAlignment="1">
      <alignment horizontal="center" vertical="center"/>
    </xf>
    <xf numFmtId="0" fontId="0" fillId="13" borderId="33" xfId="2" applyFont="1" applyFill="1" applyBorder="1" applyAlignment="1">
      <alignment horizontal="center" vertical="center"/>
    </xf>
    <xf numFmtId="0" fontId="1" fillId="7" borderId="9" xfId="5" applyBorder="1" applyAlignment="1">
      <alignment horizontal="center"/>
    </xf>
    <xf numFmtId="0" fontId="1" fillId="7" borderId="5" xfId="5" applyBorder="1" applyAlignment="1">
      <alignment horizontal="center"/>
    </xf>
    <xf numFmtId="0" fontId="1" fillId="7" borderId="10" xfId="5" applyBorder="1" applyAlignment="1">
      <alignment horizontal="center"/>
    </xf>
    <xf numFmtId="0" fontId="1" fillId="7" borderId="13" xfId="5" applyBorder="1" applyAlignment="1">
      <alignment horizontal="center"/>
    </xf>
    <xf numFmtId="0" fontId="1" fillId="7" borderId="4" xfId="5" applyBorder="1" applyAlignment="1">
      <alignment horizontal="center"/>
    </xf>
    <xf numFmtId="0" fontId="1" fillId="7" borderId="11" xfId="5" applyBorder="1" applyAlignment="1">
      <alignment horizontal="center"/>
    </xf>
    <xf numFmtId="0" fontId="0" fillId="0" borderId="37" xfId="0" applyBorder="1" applyAlignment="1">
      <alignment horizontal="center" vertical="center" wrapText="1"/>
    </xf>
  </cellXfs>
  <cellStyles count="6">
    <cellStyle name="20% - Accent1" xfId="4" builtinId="30"/>
    <cellStyle name="40% - Accent1" xfId="5" builtinId="31"/>
    <cellStyle name="Accent1" xfId="3" builtinId="29"/>
    <cellStyle name="Normal" xfId="0" builtinId="0"/>
    <cellStyle name="Note" xfId="2" builtinId="10"/>
    <cellStyle name="Percent" xfId="1" builtinId="5"/>
  </cellStyles>
  <dxfs count="142"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ABF34B"/>
        </patternFill>
      </fill>
    </dxf>
    <dxf>
      <fill>
        <patternFill>
          <bgColor rgb="FFDFF34B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EB4B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F7D471"/>
        </patternFill>
      </fill>
    </dxf>
  </dxfs>
  <tableStyles count="0" defaultTableStyle="TableStyleMedium2" defaultPivotStyle="PivotStyleMedium9"/>
  <colors>
    <mruColors>
      <color rgb="FFF4AF52"/>
      <color rgb="FFF49452"/>
      <color rgb="FFF46152"/>
      <color rgb="FFF3EB4B"/>
      <color rgb="FFDFEB4B"/>
      <color rgb="FFDFF34B"/>
      <color rgb="FFEBF34B"/>
      <color rgb="FFABF34B"/>
      <color rgb="FF8DF34B"/>
      <color rgb="FFF7D47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9</xdr:row>
      <xdr:rowOff>38100</xdr:rowOff>
    </xdr:from>
    <xdr:to>
      <xdr:col>4</xdr:col>
      <xdr:colOff>1247775</xdr:colOff>
      <xdr:row>9</xdr:row>
      <xdr:rowOff>171451</xdr:rowOff>
    </xdr:to>
    <xdr:sp macro="" textlink="">
      <xdr:nvSpPr>
        <xdr:cNvPr id="4" name="Left Arrow 3"/>
        <xdr:cNvSpPr/>
      </xdr:nvSpPr>
      <xdr:spPr>
        <a:xfrm>
          <a:off x="4086225" y="1828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10</xdr:row>
      <xdr:rowOff>38100</xdr:rowOff>
    </xdr:from>
    <xdr:to>
      <xdr:col>4</xdr:col>
      <xdr:colOff>1247775</xdr:colOff>
      <xdr:row>10</xdr:row>
      <xdr:rowOff>171451</xdr:rowOff>
    </xdr:to>
    <xdr:sp macro="" textlink="">
      <xdr:nvSpPr>
        <xdr:cNvPr id="5" name="Left Arrow 4"/>
        <xdr:cNvSpPr/>
      </xdr:nvSpPr>
      <xdr:spPr>
        <a:xfrm>
          <a:off x="4086225" y="2019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11</xdr:row>
      <xdr:rowOff>38100</xdr:rowOff>
    </xdr:from>
    <xdr:to>
      <xdr:col>4</xdr:col>
      <xdr:colOff>1247775</xdr:colOff>
      <xdr:row>11</xdr:row>
      <xdr:rowOff>171451</xdr:rowOff>
    </xdr:to>
    <xdr:sp macro="" textlink="">
      <xdr:nvSpPr>
        <xdr:cNvPr id="6" name="Left Arrow 5"/>
        <xdr:cNvSpPr/>
      </xdr:nvSpPr>
      <xdr:spPr>
        <a:xfrm>
          <a:off x="4086225" y="2209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12</xdr:row>
      <xdr:rowOff>38100</xdr:rowOff>
    </xdr:from>
    <xdr:to>
      <xdr:col>4</xdr:col>
      <xdr:colOff>1247775</xdr:colOff>
      <xdr:row>12</xdr:row>
      <xdr:rowOff>171451</xdr:rowOff>
    </xdr:to>
    <xdr:sp macro="" textlink="">
      <xdr:nvSpPr>
        <xdr:cNvPr id="7" name="Left Arrow 6"/>
        <xdr:cNvSpPr/>
      </xdr:nvSpPr>
      <xdr:spPr>
        <a:xfrm>
          <a:off x="4086225" y="2400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7</xdr:row>
      <xdr:rowOff>38099</xdr:rowOff>
    </xdr:from>
    <xdr:to>
      <xdr:col>4</xdr:col>
      <xdr:colOff>1247775</xdr:colOff>
      <xdr:row>7</xdr:row>
      <xdr:rowOff>171450</xdr:rowOff>
    </xdr:to>
    <xdr:sp macro="" textlink="">
      <xdr:nvSpPr>
        <xdr:cNvPr id="2" name="Left Arrow 1"/>
        <xdr:cNvSpPr/>
      </xdr:nvSpPr>
      <xdr:spPr>
        <a:xfrm>
          <a:off x="4086225" y="1428749"/>
          <a:ext cx="1162050" cy="133351"/>
        </a:xfrm>
        <a:prstGeom prst="leftArrow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6</xdr:row>
      <xdr:rowOff>38099</xdr:rowOff>
    </xdr:from>
    <xdr:to>
      <xdr:col>4</xdr:col>
      <xdr:colOff>1247775</xdr:colOff>
      <xdr:row>6</xdr:row>
      <xdr:rowOff>171450</xdr:rowOff>
    </xdr:to>
    <xdr:sp macro="" textlink="">
      <xdr:nvSpPr>
        <xdr:cNvPr id="3" name="Left Arrow 2"/>
        <xdr:cNvSpPr/>
      </xdr:nvSpPr>
      <xdr:spPr>
        <a:xfrm>
          <a:off x="4086225" y="1228724"/>
          <a:ext cx="1162050" cy="133351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5</xdr:col>
      <xdr:colOff>24765</xdr:colOff>
      <xdr:row>14</xdr:row>
      <xdr:rowOff>64489</xdr:rowOff>
    </xdr:from>
    <xdr:to>
      <xdr:col>8</xdr:col>
      <xdr:colOff>552449</xdr:colOff>
      <xdr:row>22</xdr:row>
      <xdr:rowOff>104775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11097" b="20250"/>
        <a:stretch/>
      </xdr:blipFill>
      <xdr:spPr>
        <a:xfrm>
          <a:off x="5339715" y="2817214"/>
          <a:ext cx="3251834" cy="1573811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457199</xdr:colOff>
      <xdr:row>3</xdr:row>
      <xdr:rowOff>85727</xdr:rowOff>
    </xdr:from>
    <xdr:to>
      <xdr:col>6</xdr:col>
      <xdr:colOff>561974</xdr:colOff>
      <xdr:row>3</xdr:row>
      <xdr:rowOff>533400</xdr:rowOff>
    </xdr:to>
    <xdr:sp macro="" textlink="">
      <xdr:nvSpPr>
        <xdr:cNvPr id="3" name="Left Arrow 2"/>
        <xdr:cNvSpPr/>
      </xdr:nvSpPr>
      <xdr:spPr>
        <a:xfrm rot="5400000">
          <a:off x="5000625" y="838201"/>
          <a:ext cx="447673" cy="104775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8"/>
  <sheetViews>
    <sheetView tabSelected="1" zoomScaleNormal="100" workbookViewId="0">
      <selection activeCell="E16" sqref="E16"/>
    </sheetView>
  </sheetViews>
  <sheetFormatPr defaultRowHeight="15" x14ac:dyDescent="0.25"/>
  <cols>
    <col min="3" max="3" width="25.28515625" bestFit="1" customWidth="1"/>
    <col min="4" max="4" width="16.42578125" customWidth="1"/>
    <col min="5" max="5" width="19.7109375" customWidth="1"/>
    <col min="6" max="6" width="15.85546875" bestFit="1" customWidth="1"/>
    <col min="7" max="7" width="12.28515625" customWidth="1"/>
    <col min="8" max="8" width="12.7109375" customWidth="1"/>
    <col min="9" max="9" width="8.42578125" bestFit="1" customWidth="1"/>
    <col min="10" max="10" width="15.85546875" customWidth="1"/>
    <col min="11" max="11" width="14.42578125" bestFit="1" customWidth="1"/>
    <col min="12" max="12" width="18.42578125" bestFit="1" customWidth="1"/>
    <col min="13" max="13" width="20" bestFit="1" customWidth="1"/>
    <col min="14" max="15" width="14.42578125" bestFit="1" customWidth="1"/>
    <col min="16" max="16" width="17.28515625" bestFit="1" customWidth="1"/>
    <col min="17" max="17" width="14.42578125" bestFit="1" customWidth="1"/>
  </cols>
  <sheetData>
    <row r="1" spans="3:13" x14ac:dyDescent="0.25">
      <c r="C1" s="33"/>
    </row>
    <row r="2" spans="3:13" ht="15.75" thickBot="1" x14ac:dyDescent="0.3"/>
    <row r="3" spans="3:13" ht="15.75" customHeight="1" thickBot="1" x14ac:dyDescent="0.3">
      <c r="C3" s="38" t="s">
        <v>15</v>
      </c>
      <c r="D3" s="66"/>
      <c r="F3" s="110" t="s">
        <v>67</v>
      </c>
      <c r="G3" s="111"/>
      <c r="H3" s="111"/>
      <c r="I3" s="112"/>
      <c r="J3" s="35"/>
      <c r="K3" s="46" t="s">
        <v>26</v>
      </c>
      <c r="L3" s="47" t="s">
        <v>25</v>
      </c>
      <c r="M3" s="47" t="s">
        <v>24</v>
      </c>
    </row>
    <row r="4" spans="3:13" ht="15.75" thickBot="1" x14ac:dyDescent="0.3">
      <c r="C4" s="42" t="s">
        <v>14</v>
      </c>
      <c r="D4" s="67"/>
      <c r="F4" s="113"/>
      <c r="G4" s="114"/>
      <c r="H4" s="114"/>
      <c r="I4" s="115"/>
      <c r="J4" s="37"/>
      <c r="K4" s="53" t="s">
        <v>16</v>
      </c>
      <c r="L4" s="48" t="s">
        <v>104</v>
      </c>
      <c r="M4" s="59">
        <f>COUNTIF(I$28:I$38, "="&amp;L4)</f>
        <v>1</v>
      </c>
    </row>
    <row r="5" spans="3:13" ht="15.75" thickBot="1" x14ac:dyDescent="0.3">
      <c r="C5" s="40" t="s">
        <v>13</v>
      </c>
      <c r="D5" s="68"/>
      <c r="E5" s="36"/>
      <c r="F5" s="113"/>
      <c r="G5" s="114"/>
      <c r="H5" s="114"/>
      <c r="I5" s="115"/>
      <c r="J5" s="37"/>
      <c r="K5" s="54" t="s">
        <v>17</v>
      </c>
      <c r="L5" s="48" t="s">
        <v>31</v>
      </c>
      <c r="M5" s="59">
        <f>COUNTIF(I$28:I$38, "="&amp;L5)</f>
        <v>0</v>
      </c>
    </row>
    <row r="6" spans="3:13" ht="15.75" thickBot="1" x14ac:dyDescent="0.3">
      <c r="C6" s="42" t="s">
        <v>12</v>
      </c>
      <c r="D6" s="67"/>
      <c r="F6" s="113"/>
      <c r="G6" s="114"/>
      <c r="H6" s="114"/>
      <c r="I6" s="115"/>
      <c r="J6" s="37"/>
      <c r="K6" s="55" t="s">
        <v>18</v>
      </c>
      <c r="L6" s="49" t="s">
        <v>33</v>
      </c>
      <c r="M6" s="59">
        <f>COUNTIF(I$28:I$38, "="&amp;L6)</f>
        <v>1</v>
      </c>
    </row>
    <row r="7" spans="3:13" ht="15.75" thickBot="1" x14ac:dyDescent="0.3">
      <c r="C7" s="40" t="s">
        <v>51</v>
      </c>
      <c r="D7" s="90">
        <v>11</v>
      </c>
      <c r="F7" s="107" t="s">
        <v>65</v>
      </c>
      <c r="G7" s="108"/>
      <c r="H7" s="108"/>
      <c r="I7" s="109"/>
      <c r="J7" s="35"/>
      <c r="K7" s="55" t="s">
        <v>19</v>
      </c>
      <c r="L7" s="49" t="s">
        <v>50</v>
      </c>
      <c r="M7" s="59">
        <f>COUNTIF(I$28:I$38, "="&amp;L7)</f>
        <v>2</v>
      </c>
    </row>
    <row r="8" spans="3:13" ht="15.75" thickBot="1" x14ac:dyDescent="0.3">
      <c r="C8" s="44" t="s">
        <v>52</v>
      </c>
      <c r="D8" s="91">
        <v>4</v>
      </c>
      <c r="F8" s="104" t="s">
        <v>66</v>
      </c>
      <c r="G8" s="105"/>
      <c r="H8" s="105"/>
      <c r="I8" s="106"/>
      <c r="J8" s="35"/>
      <c r="K8" s="55" t="s">
        <v>20</v>
      </c>
      <c r="L8" s="49" t="s">
        <v>37</v>
      </c>
      <c r="M8" s="59">
        <f>COUNTIF(I$28:I$38, "="&amp;L8)</f>
        <v>2</v>
      </c>
    </row>
    <row r="9" spans="3:13" ht="15.75" thickBot="1" x14ac:dyDescent="0.3">
      <c r="J9" s="35"/>
      <c r="K9" s="56" t="s">
        <v>21</v>
      </c>
      <c r="L9" s="50" t="s">
        <v>34</v>
      </c>
      <c r="M9" s="59">
        <f>COUNTIF(I$28:I$38, "="&amp;L9)</f>
        <v>3</v>
      </c>
    </row>
    <row r="10" spans="3:13" x14ac:dyDescent="0.25">
      <c r="C10" s="38" t="s">
        <v>48</v>
      </c>
      <c r="D10" s="39">
        <v>0.5</v>
      </c>
      <c r="F10" s="116" t="s">
        <v>68</v>
      </c>
      <c r="G10" s="117"/>
      <c r="H10" s="117"/>
      <c r="I10" s="118"/>
      <c r="J10" s="35"/>
      <c r="K10" s="56" t="s">
        <v>22</v>
      </c>
      <c r="L10" s="50" t="s">
        <v>32</v>
      </c>
      <c r="M10" s="59">
        <f>COUNTIF(I$28:I$38, "="&amp;L10)</f>
        <v>0</v>
      </c>
    </row>
    <row r="11" spans="3:13" x14ac:dyDescent="0.25">
      <c r="C11" s="42" t="s">
        <v>46</v>
      </c>
      <c r="D11" s="43">
        <v>0.4</v>
      </c>
      <c r="F11" s="107" t="s">
        <v>69</v>
      </c>
      <c r="G11" s="108"/>
      <c r="H11" s="108"/>
      <c r="I11" s="109"/>
      <c r="J11" s="35"/>
      <c r="K11" s="56" t="s">
        <v>23</v>
      </c>
      <c r="L11" s="50" t="s">
        <v>35</v>
      </c>
      <c r="M11" s="59">
        <f>COUNTIF(I$28:I$38, "="&amp;L11)</f>
        <v>1</v>
      </c>
    </row>
    <row r="12" spans="3:13" x14ac:dyDescent="0.25">
      <c r="C12" s="40" t="s">
        <v>43</v>
      </c>
      <c r="D12" s="41">
        <v>0.5</v>
      </c>
      <c r="F12" s="107" t="s">
        <v>71</v>
      </c>
      <c r="G12" s="108"/>
      <c r="H12" s="108"/>
      <c r="I12" s="109"/>
      <c r="J12" s="35"/>
      <c r="K12" s="57" t="s">
        <v>30</v>
      </c>
      <c r="L12" s="51" t="s">
        <v>36</v>
      </c>
      <c r="M12" s="59">
        <f>COUNTIF(I$28:I$38, "="&amp;L12)</f>
        <v>0</v>
      </c>
    </row>
    <row r="13" spans="3:13" ht="15.75" thickBot="1" x14ac:dyDescent="0.3">
      <c r="C13" s="44" t="s">
        <v>47</v>
      </c>
      <c r="D13" s="45">
        <v>0.4</v>
      </c>
      <c r="F13" s="104" t="s">
        <v>70</v>
      </c>
      <c r="G13" s="105"/>
      <c r="H13" s="105"/>
      <c r="I13" s="106"/>
      <c r="J13" s="35"/>
      <c r="K13" s="58" t="s">
        <v>29</v>
      </c>
      <c r="L13" s="52" t="s">
        <v>38</v>
      </c>
      <c r="M13" s="59">
        <f>COUNTIF(I$28:I$38, "="&amp;L13)</f>
        <v>1</v>
      </c>
    </row>
    <row r="14" spans="3:13" x14ac:dyDescent="0.25">
      <c r="J14" s="35"/>
      <c r="K14" s="121" t="s">
        <v>28</v>
      </c>
      <c r="L14" s="122"/>
      <c r="M14" s="60">
        <f>COUNTIF(H28:H38, "=FAIL")</f>
        <v>3</v>
      </c>
    </row>
    <row r="15" spans="3:13" x14ac:dyDescent="0.25">
      <c r="J15" s="35"/>
      <c r="K15" s="123" t="s">
        <v>27</v>
      </c>
      <c r="L15" s="124"/>
      <c r="M15" s="59">
        <f>COUNTIF(H28:H38, "=PASS")</f>
        <v>8</v>
      </c>
    </row>
    <row r="16" spans="3:13" x14ac:dyDescent="0.25">
      <c r="J16" s="35"/>
      <c r="K16" s="123" t="s">
        <v>39</v>
      </c>
      <c r="L16" s="124"/>
      <c r="M16" s="59">
        <f>COUNTIF(G28:G38, "=WRITE SUPP")</f>
        <v>2</v>
      </c>
    </row>
    <row r="17" spans="1:17" x14ac:dyDescent="0.25">
      <c r="J17" s="35"/>
      <c r="K17" s="123" t="s">
        <v>40</v>
      </c>
      <c r="L17" s="124"/>
      <c r="M17" s="61">
        <f>MAX(J28:J38)-MIN(J28:J38)</f>
        <v>0.48981818181818176</v>
      </c>
    </row>
    <row r="18" spans="1:17" x14ac:dyDescent="0.25">
      <c r="J18" s="35"/>
      <c r="K18" s="123" t="s">
        <v>41</v>
      </c>
      <c r="L18" s="124"/>
      <c r="M18" s="61">
        <f>AVERAGE(J28:J38)</f>
        <v>0.6249421487603305</v>
      </c>
    </row>
    <row r="19" spans="1:17" ht="15.75" thickBot="1" x14ac:dyDescent="0.3">
      <c r="J19" s="35"/>
      <c r="K19" s="119" t="s">
        <v>42</v>
      </c>
      <c r="L19" s="120"/>
      <c r="M19" s="62">
        <f>STDEV(J28:J38)</f>
        <v>0.12975246154595738</v>
      </c>
    </row>
    <row r="24" spans="1:17" ht="15.75" thickBot="1" x14ac:dyDescent="0.3"/>
    <row r="25" spans="1:17" ht="15.75" thickBot="1" x14ac:dyDescent="0.3">
      <c r="D25" s="63" t="s">
        <v>3</v>
      </c>
      <c r="E25" s="64" t="s">
        <v>1</v>
      </c>
      <c r="F25" s="64" t="s">
        <v>2</v>
      </c>
      <c r="G25" s="64" t="s">
        <v>45</v>
      </c>
      <c r="H25" s="64" t="s">
        <v>44</v>
      </c>
      <c r="I25" s="64" t="s">
        <v>25</v>
      </c>
      <c r="J25" s="70" t="s">
        <v>9</v>
      </c>
      <c r="K25" s="64" t="s">
        <v>4</v>
      </c>
      <c r="L25" s="64" t="s">
        <v>54</v>
      </c>
      <c r="M25" s="98" t="s">
        <v>49</v>
      </c>
      <c r="N25" s="65" t="str">
        <f ca="1">'Test 1'!D3</f>
        <v>Test 1</v>
      </c>
      <c r="O25" s="65" t="str">
        <f ca="1">'Test 2'!D3</f>
        <v>Test 2</v>
      </c>
      <c r="P25" s="65" t="str">
        <f ca="1">'Oral Assignment 1'!D3</f>
        <v>Oral Assignment 1</v>
      </c>
      <c r="Q25" s="65" t="str">
        <f ca="1">'Test 4'!D3</f>
        <v>Test 4</v>
      </c>
    </row>
    <row r="26" spans="1:17" ht="15.75" thickBot="1" x14ac:dyDescent="0.3">
      <c r="C26" s="25" t="s">
        <v>11</v>
      </c>
      <c r="D26" s="26"/>
      <c r="E26" s="27"/>
      <c r="F26" s="27"/>
      <c r="G26" s="27"/>
      <c r="H26" s="27"/>
      <c r="I26" s="27"/>
      <c r="J26" s="71">
        <v>1</v>
      </c>
      <c r="K26" s="22">
        <v>0.4</v>
      </c>
      <c r="L26" s="22">
        <v>0.6</v>
      </c>
      <c r="M26" s="99"/>
      <c r="N26" s="97">
        <f>N27/$M$27</f>
        <v>9.0909090909090912E-2</v>
      </c>
      <c r="O26" s="97">
        <f t="shared" ref="O26:Q26" si="0">O27/$M$27</f>
        <v>0.27272727272727271</v>
      </c>
      <c r="P26" s="97">
        <f t="shared" si="0"/>
        <v>0.18181818181818182</v>
      </c>
      <c r="Q26" s="97">
        <f t="shared" si="0"/>
        <v>0.45454545454545453</v>
      </c>
    </row>
    <row r="27" spans="1:17" ht="15.75" thickBot="1" x14ac:dyDescent="0.3">
      <c r="C27" s="29" t="s">
        <v>53</v>
      </c>
      <c r="D27" s="30"/>
      <c r="E27" s="31"/>
      <c r="F27" s="31"/>
      <c r="G27" s="31"/>
      <c r="H27" s="31"/>
      <c r="I27" s="31"/>
      <c r="J27" s="72"/>
      <c r="K27" s="69"/>
      <c r="L27" s="31"/>
      <c r="M27" s="100">
        <f>SUM(N27:Q27)</f>
        <v>110</v>
      </c>
      <c r="N27" s="32">
        <f>SUM('Test 1'!L6:U6)</f>
        <v>10</v>
      </c>
      <c r="O27" s="32">
        <f>'Test 2'!I6</f>
        <v>30</v>
      </c>
      <c r="P27" s="32">
        <f>'Oral Assignment 1'!I6</f>
        <v>20</v>
      </c>
      <c r="Q27" s="32">
        <f>'Test 4'!I6</f>
        <v>50</v>
      </c>
    </row>
    <row r="28" spans="1:17" x14ac:dyDescent="0.25">
      <c r="A28" s="102"/>
      <c r="C28" s="103"/>
      <c r="D28" s="73" t="s">
        <v>76</v>
      </c>
      <c r="E28" s="96" t="s">
        <v>89</v>
      </c>
      <c r="F28" s="88" t="s">
        <v>78</v>
      </c>
      <c r="G28" s="74" t="str">
        <f t="shared" ref="G28:G38" si="1">IF(AND(K28&gt;=D$13, J28&gt;=D$11), IF(OR(K28&lt;D$12, J28&lt;D$10), "WRITE SUPP", "NO SUPP"), "NO SUPP")</f>
        <v>NO SUPP</v>
      </c>
      <c r="H28" s="74" t="str">
        <f t="shared" ref="H28:H38" si="2">IF(K28&gt;=D$12, IF(J28&gt;=D$10, "PASS", "FAIL"), "FAIL")</f>
        <v>PASS</v>
      </c>
      <c r="I28" s="74" t="str">
        <f>STUDENT_GRADE(J28,K$4:K$13,L$4:L$13)</f>
        <v>B</v>
      </c>
      <c r="J28" s="89">
        <f t="shared" ref="J28:J38" si="3">IFERROR(K$26*K28+L$26*L28, L$26*L28)</f>
        <v>0.69090909090909092</v>
      </c>
      <c r="K28" s="89">
        <f>IF(ISNUMBER(FIND("MISSING MARK",Exam!I7)),Exam!I7,IF(ISNUMBER(FIND("INVALID MARK",Exam!I7)),Exam!I7,IF(ISNUMBER(FIND("INVALID ENTRY",Exam!I7)),Exam!I7, Exam!H7)))</f>
        <v>0.72499999999999998</v>
      </c>
      <c r="L28" s="89">
        <f t="shared" ref="L28:L38" si="4">M28/M$27</f>
        <v>0.66818181818181821</v>
      </c>
      <c r="M28" s="74">
        <f>SUM(N28:Q28)</f>
        <v>73.5</v>
      </c>
      <c r="N28" s="75">
        <f>'Test 1'!I7</f>
        <v>4</v>
      </c>
      <c r="O28" s="75">
        <f>'Test 2'!I7</f>
        <v>20.5</v>
      </c>
      <c r="P28" s="75">
        <f>'Oral Assignment 1'!I7</f>
        <v>16</v>
      </c>
      <c r="Q28" s="75">
        <f>'Test 4'!I7</f>
        <v>33</v>
      </c>
    </row>
    <row r="29" spans="1:17" x14ac:dyDescent="0.25">
      <c r="A29" s="102"/>
      <c r="D29" s="73" t="s">
        <v>79</v>
      </c>
      <c r="E29" s="96" t="s">
        <v>77</v>
      </c>
      <c r="F29" s="88" t="s">
        <v>81</v>
      </c>
      <c r="G29" s="74" t="str">
        <f t="shared" si="1"/>
        <v>NO SUPP</v>
      </c>
      <c r="H29" s="74" t="str">
        <f t="shared" si="2"/>
        <v>PASS</v>
      </c>
      <c r="I29" s="74" t="str">
        <f>STUDENT_GRADE(J29,K$4:K$13,L$4:L$13)</f>
        <v>A+</v>
      </c>
      <c r="J29" s="89">
        <f t="shared" si="3"/>
        <v>0.88527272727272721</v>
      </c>
      <c r="K29" s="89">
        <f>IF(ISNUMBER(FIND("MISSING MARK",Exam!I8)),Exam!I8,IF(ISNUMBER(FIND("INVALID MARK",Exam!I8)),Exam!I8,IF(ISNUMBER(FIND("INVALID ENTRY",Exam!I8)),Exam!I8, Exam!H8)))</f>
        <v>0.87</v>
      </c>
      <c r="L29" s="89">
        <f t="shared" si="4"/>
        <v>0.8954545454545455</v>
      </c>
      <c r="M29" s="74">
        <f>SUM(N29:Q29)</f>
        <v>98.5</v>
      </c>
      <c r="N29" s="75">
        <f>'Test 1'!I8</f>
        <v>8</v>
      </c>
      <c r="O29" s="75">
        <f>'Test 2'!I8</f>
        <v>25.5</v>
      </c>
      <c r="P29" s="75">
        <f>'Oral Assignment 1'!I8</f>
        <v>19</v>
      </c>
      <c r="Q29" s="75">
        <f>'Test 4'!I8</f>
        <v>46</v>
      </c>
    </row>
    <row r="30" spans="1:17" x14ac:dyDescent="0.25">
      <c r="A30" s="102"/>
      <c r="D30" s="101" t="s">
        <v>80</v>
      </c>
      <c r="E30" s="101" t="s">
        <v>84</v>
      </c>
      <c r="F30" s="88" t="s">
        <v>82</v>
      </c>
      <c r="G30" s="74" t="str">
        <f t="shared" si="1"/>
        <v>NO SUPP</v>
      </c>
      <c r="H30" s="74" t="str">
        <f t="shared" si="2"/>
        <v>FAIL</v>
      </c>
      <c r="I30" s="74" t="str">
        <f>STUDENT_GRADE(J30,K$4:K$13,L$4:L$13)</f>
        <v>F</v>
      </c>
      <c r="J30" s="89">
        <f t="shared" si="3"/>
        <v>0.39545454545454545</v>
      </c>
      <c r="K30" s="89">
        <f>IF(ISNUMBER(FIND("MISSING MARK",Exam!I9)),Exam!I9,IF(ISNUMBER(FIND("INVALID MARK",Exam!I9)),Exam!I9,IF(ISNUMBER(FIND("INVALID ENTRY",Exam!I9)),Exam!I9, Exam!H9)))</f>
        <v>0.45</v>
      </c>
      <c r="L30" s="89">
        <f t="shared" si="4"/>
        <v>0.35909090909090907</v>
      </c>
      <c r="M30" s="74">
        <f>SUM(N30:Q30)</f>
        <v>39.5</v>
      </c>
      <c r="N30" s="75">
        <f>'Test 1'!I9</f>
        <v>4</v>
      </c>
      <c r="O30" s="75">
        <f>'Test 2'!I9</f>
        <v>10.500000000000002</v>
      </c>
      <c r="P30" s="75">
        <f>'Oral Assignment 1'!I9</f>
        <v>9</v>
      </c>
      <c r="Q30" s="75">
        <f>'Test 4'!I9</f>
        <v>16</v>
      </c>
    </row>
    <row r="31" spans="1:17" x14ac:dyDescent="0.25">
      <c r="A31" s="102"/>
      <c r="D31" s="73" t="s">
        <v>85</v>
      </c>
      <c r="E31" s="73" t="s">
        <v>86</v>
      </c>
      <c r="F31" s="88" t="s">
        <v>83</v>
      </c>
      <c r="G31" s="74" t="str">
        <f t="shared" si="1"/>
        <v>NO SUPP</v>
      </c>
      <c r="H31" s="74" t="str">
        <f t="shared" si="2"/>
        <v>PASS</v>
      </c>
      <c r="I31" s="74" t="str">
        <f>STUDENT_GRADE(J31,K$4:K$13,L$4:L$13)</f>
        <v>C+</v>
      </c>
      <c r="J31" s="89">
        <f t="shared" si="3"/>
        <v>0.55563636363636371</v>
      </c>
      <c r="K31" s="89">
        <f>IF(ISNUMBER(FIND("MISSING MARK",Exam!I10)),Exam!I10,IF(ISNUMBER(FIND("INVALID MARK",Exam!I10)),Exam!I10,IF(ISNUMBER(FIND("INVALID ENTRY",Exam!I10)),Exam!I10, Exam!H10)))</f>
        <v>0.53</v>
      </c>
      <c r="L31" s="89">
        <f t="shared" si="4"/>
        <v>0.57272727272727275</v>
      </c>
      <c r="M31" s="74">
        <f>SUM(N31:Q31)</f>
        <v>63</v>
      </c>
      <c r="N31" s="75">
        <f>'Test 1'!I10</f>
        <v>5</v>
      </c>
      <c r="O31" s="75">
        <f>'Test 2'!I10</f>
        <v>17</v>
      </c>
      <c r="P31" s="75">
        <f>'Oral Assignment 1'!I10</f>
        <v>11</v>
      </c>
      <c r="Q31" s="75">
        <f>'Test 4'!I10</f>
        <v>30</v>
      </c>
    </row>
    <row r="32" spans="1:17" x14ac:dyDescent="0.25">
      <c r="A32" s="102"/>
      <c r="D32" s="73" t="s">
        <v>88</v>
      </c>
      <c r="E32" s="73" t="s">
        <v>87</v>
      </c>
      <c r="F32" s="88" t="s">
        <v>90</v>
      </c>
      <c r="G32" s="74" t="str">
        <f>IF(AND(K32&gt;=D$13, J32&gt;=D$11), IF(OR(K32&lt;D$12, J32&lt;D$10), "WRITE SUPP", "NO SUPP"), "NO SUPP")</f>
        <v>WRITE SUPP</v>
      </c>
      <c r="H32" s="74" t="str">
        <f t="shared" si="2"/>
        <v>FAIL</v>
      </c>
      <c r="I32" s="74" t="str">
        <f>STUDENT_GRADE(J32,K$4:K$13,L$4:L$13)</f>
        <v>C+</v>
      </c>
      <c r="J32" s="89">
        <f t="shared" si="3"/>
        <v>0.58945454545454545</v>
      </c>
      <c r="K32" s="89">
        <f>IF(ISNUMBER(FIND("MISSING MARK",Exam!I11)),Exam!I11,IF(ISNUMBER(FIND("INVALID MARK",Exam!I11)),Exam!I11,IF(ISNUMBER(FIND("INVALID ENTRY",Exam!I11)),Exam!I11, Exam!H11)))</f>
        <v>0.41</v>
      </c>
      <c r="L32" s="89">
        <f t="shared" si="4"/>
        <v>0.70909090909090911</v>
      </c>
      <c r="M32" s="74">
        <f>SUM(N32:Q32)</f>
        <v>78</v>
      </c>
      <c r="N32" s="75">
        <f>'Test 1'!I11</f>
        <v>6</v>
      </c>
      <c r="O32" s="75">
        <f>'Test 2'!I11</f>
        <v>18</v>
      </c>
      <c r="P32" s="75">
        <f>'Oral Assignment 1'!I11</f>
        <v>19</v>
      </c>
      <c r="Q32" s="75">
        <f>'Test 4'!I11</f>
        <v>35</v>
      </c>
    </row>
    <row r="33" spans="1:17" x14ac:dyDescent="0.25">
      <c r="A33" s="102"/>
      <c r="D33" s="73" t="s">
        <v>92</v>
      </c>
      <c r="E33" s="73" t="s">
        <v>91</v>
      </c>
      <c r="F33" s="88" t="s">
        <v>93</v>
      </c>
      <c r="G33" s="74" t="str">
        <f t="shared" si="1"/>
        <v>WRITE SUPP</v>
      </c>
      <c r="H33" s="74" t="str">
        <f t="shared" si="2"/>
        <v>FAIL</v>
      </c>
      <c r="I33" s="74" t="str">
        <f>STUDENT_GRADE(J33,K$4:K$13,L$4:L$13)</f>
        <v>C-</v>
      </c>
      <c r="J33" s="89">
        <f t="shared" si="3"/>
        <v>0.49181818181818182</v>
      </c>
      <c r="K33" s="89">
        <f>IF(ISNUMBER(FIND("MISSING MARK",Exam!I12)),Exam!I12,IF(ISNUMBER(FIND("INVALID MARK",Exam!I12)),Exam!I12,IF(ISNUMBER(FIND("INVALID ENTRY",Exam!I12)),Exam!I12, Exam!H12)))</f>
        <v>0.65</v>
      </c>
      <c r="L33" s="89">
        <f t="shared" si="4"/>
        <v>0.38636363636363635</v>
      </c>
      <c r="M33" s="74">
        <f>SUM(N33:Q33)</f>
        <v>42.5</v>
      </c>
      <c r="N33" s="75">
        <f>'Test 1'!I12</f>
        <v>3.5000000000000004</v>
      </c>
      <c r="O33" s="75">
        <f>'Test 2'!I12</f>
        <v>11</v>
      </c>
      <c r="P33" s="75">
        <f>'Oral Assignment 1'!I12</f>
        <v>11</v>
      </c>
      <c r="Q33" s="75">
        <f>'Test 4'!I12</f>
        <v>17</v>
      </c>
    </row>
    <row r="34" spans="1:17" x14ac:dyDescent="0.25">
      <c r="A34" s="102"/>
      <c r="D34" s="73" t="s">
        <v>95</v>
      </c>
      <c r="E34" s="73" t="s">
        <v>94</v>
      </c>
      <c r="F34" s="88" t="s">
        <v>97</v>
      </c>
      <c r="G34" s="74" t="str">
        <f t="shared" si="1"/>
        <v>NO SUPP</v>
      </c>
      <c r="H34" s="74" t="str">
        <f t="shared" si="2"/>
        <v>PASS</v>
      </c>
      <c r="I34" s="74" t="str">
        <f>STUDENT_GRADE(J34,K$4:K$13,L$4:L$13)</f>
        <v>C+</v>
      </c>
      <c r="J34" s="89">
        <f t="shared" si="3"/>
        <v>0.58654545454545448</v>
      </c>
      <c r="K34" s="89">
        <f>IF(ISNUMBER(FIND("MISSING MARK",Exam!I13)),Exam!I13,IF(ISNUMBER(FIND("INVALID MARK",Exam!I13)),Exam!I13,IF(ISNUMBER(FIND("INVALID ENTRY",Exam!I13)),Exam!I13, Exam!H13)))</f>
        <v>0.57999999999999996</v>
      </c>
      <c r="L34" s="89">
        <f t="shared" si="4"/>
        <v>0.59090909090909094</v>
      </c>
      <c r="M34" s="74">
        <f>SUM(N34:Q34)</f>
        <v>65</v>
      </c>
      <c r="N34" s="75">
        <f>'Test 1'!I13</f>
        <v>6</v>
      </c>
      <c r="O34" s="75" t="str">
        <f>'Test 2'!I13</f>
        <v>INVALID ENTRY</v>
      </c>
      <c r="P34" s="75">
        <f>'Oral Assignment 1'!I13</f>
        <v>12</v>
      </c>
      <c r="Q34" s="75">
        <f>'Test 4'!I13</f>
        <v>47</v>
      </c>
    </row>
    <row r="35" spans="1:17" x14ac:dyDescent="0.25">
      <c r="A35" s="102"/>
      <c r="D35" s="73" t="s">
        <v>95</v>
      </c>
      <c r="E35" s="73" t="s">
        <v>99</v>
      </c>
      <c r="F35" s="88" t="s">
        <v>98</v>
      </c>
      <c r="G35" s="74" t="str">
        <f t="shared" si="1"/>
        <v>NO SUPP</v>
      </c>
      <c r="H35" s="74" t="str">
        <f t="shared" si="2"/>
        <v>PASS</v>
      </c>
      <c r="I35" s="74" t="str">
        <f>STUDENT_GRADE(J35,K$4:K$13,L$4:L$13)</f>
        <v>B-</v>
      </c>
      <c r="J35" s="89">
        <f t="shared" si="3"/>
        <v>0.61690909090909085</v>
      </c>
      <c r="K35" s="89">
        <f>IF(ISNUMBER(FIND("MISSING MARK",Exam!I14)),Exam!I14,IF(ISNUMBER(FIND("INVALID MARK",Exam!I14)),Exam!I14,IF(ISNUMBER(FIND("INVALID ENTRY",Exam!I14)),Exam!I14, Exam!H14)))</f>
        <v>0.69</v>
      </c>
      <c r="L35" s="89">
        <f t="shared" si="4"/>
        <v>0.56818181818181823</v>
      </c>
      <c r="M35" s="74">
        <f>SUM(N35:Q35)</f>
        <v>62.5</v>
      </c>
      <c r="N35" s="75" t="str">
        <f>'Test 1'!I14</f>
        <v>INVALID MARK</v>
      </c>
      <c r="O35" s="75">
        <f>'Test 2'!I14</f>
        <v>18.5</v>
      </c>
      <c r="P35" s="75">
        <f>'Oral Assignment 1'!I14</f>
        <v>13</v>
      </c>
      <c r="Q35" s="75">
        <f>'Test 4'!I14</f>
        <v>31</v>
      </c>
    </row>
    <row r="36" spans="1:17" x14ac:dyDescent="0.25">
      <c r="A36" s="102"/>
      <c r="D36" s="73" t="s">
        <v>95</v>
      </c>
      <c r="E36" s="73" t="s">
        <v>96</v>
      </c>
      <c r="F36" s="88" t="s">
        <v>100</v>
      </c>
      <c r="G36" s="74" t="str">
        <f t="shared" si="1"/>
        <v>NO SUPP</v>
      </c>
      <c r="H36" s="74" t="str">
        <f t="shared" si="2"/>
        <v>PASS</v>
      </c>
      <c r="I36" s="74" t="str">
        <f>STUDENT_GRADE(J36,K$4:K$13,L$4:L$13)</f>
        <v>B</v>
      </c>
      <c r="J36" s="89">
        <f t="shared" si="3"/>
        <v>0.69290909090909092</v>
      </c>
      <c r="K36" s="89">
        <f>IF(ISNUMBER(FIND("MISSING MARK",Exam!I15)),Exam!I15,IF(ISNUMBER(FIND("INVALID MARK",Exam!I15)),Exam!I15,IF(ISNUMBER(FIND("INVALID ENTRY",Exam!I15)),Exam!I15, Exam!H15)))</f>
        <v>0.80500000000000005</v>
      </c>
      <c r="L36" s="89">
        <f t="shared" si="4"/>
        <v>0.61818181818181817</v>
      </c>
      <c r="M36" s="74">
        <f>SUM(N36:Q36)</f>
        <v>68</v>
      </c>
      <c r="N36" s="75">
        <f>'Test 1'!I15</f>
        <v>9</v>
      </c>
      <c r="O36" s="75">
        <f>'Test 2'!I15</f>
        <v>14</v>
      </c>
      <c r="P36" s="75" t="str">
        <f>'Oral Assignment 1'!I15</f>
        <v>MISSING MARK</v>
      </c>
      <c r="Q36" s="75">
        <f>'Test 4'!I15</f>
        <v>45</v>
      </c>
    </row>
    <row r="37" spans="1:17" x14ac:dyDescent="0.25">
      <c r="A37" s="102"/>
      <c r="D37" s="73" t="s">
        <v>2</v>
      </c>
      <c r="E37" s="73" t="s">
        <v>96</v>
      </c>
      <c r="F37" s="88"/>
      <c r="G37" s="74" t="str">
        <f t="shared" si="1"/>
        <v>NO SUPP</v>
      </c>
      <c r="H37" s="74" t="str">
        <f t="shared" si="2"/>
        <v>PASS</v>
      </c>
      <c r="I37" s="74" t="str">
        <f>STUDENT_GRADE(J37,K$4:K$13,L$4:L$13)</f>
        <v>B+</v>
      </c>
      <c r="J37" s="89">
        <f t="shared" si="3"/>
        <v>0.74163636363636365</v>
      </c>
      <c r="K37" s="89">
        <f>IF(ISNUMBER(FIND("MISSING MARK",Exam!I16)),Exam!I16,IF(ISNUMBER(FIND("INVALID MARK",Exam!I16)),Exam!I16,IF(ISNUMBER(FIND("INVALID ENTRY",Exam!I16)),Exam!I16, Exam!H16)))</f>
        <v>0.77</v>
      </c>
      <c r="L37" s="89">
        <f t="shared" si="4"/>
        <v>0.72272727272727277</v>
      </c>
      <c r="M37" s="74">
        <f>SUM(N37:Q37)</f>
        <v>79.5</v>
      </c>
      <c r="N37" s="75">
        <f>'Test 1'!I16</f>
        <v>10</v>
      </c>
      <c r="O37" s="75">
        <f>'Test 2'!I16</f>
        <v>21</v>
      </c>
      <c r="P37" s="75">
        <f>'Oral Assignment 1'!I16</f>
        <v>12.5</v>
      </c>
      <c r="Q37" s="75">
        <f>'Test 4'!I16</f>
        <v>36</v>
      </c>
    </row>
    <row r="38" spans="1:17" x14ac:dyDescent="0.25">
      <c r="A38" s="102"/>
      <c r="D38" s="73" t="s">
        <v>102</v>
      </c>
      <c r="E38" s="73" t="s">
        <v>101</v>
      </c>
      <c r="F38" s="88" t="s">
        <v>103</v>
      </c>
      <c r="G38" s="74" t="str">
        <f t="shared" si="1"/>
        <v>NO SUPP</v>
      </c>
      <c r="H38" s="74" t="str">
        <f t="shared" si="2"/>
        <v>PASS</v>
      </c>
      <c r="I38" s="74" t="str">
        <f>STUDENT_GRADE(J38,K$4:K$13,L$4:L$13)</f>
        <v>B-</v>
      </c>
      <c r="J38" s="89">
        <f t="shared" si="3"/>
        <v>0.62781818181818172</v>
      </c>
      <c r="K38" s="89">
        <f>IF(ISNUMBER(FIND("MISSING MARK",Exam!I17)),Exam!I17,IF(ISNUMBER(FIND("INVALID MARK",Exam!I17)),Exam!I17,IF(ISNUMBER(FIND("INVALID ENTRY",Exam!I17)),Exam!I17, Exam!H17)))</f>
        <v>0.69</v>
      </c>
      <c r="L38" s="89">
        <f t="shared" si="4"/>
        <v>0.58636363636363631</v>
      </c>
      <c r="M38" s="74">
        <f>SUM(N38:Q38)</f>
        <v>64.5</v>
      </c>
      <c r="N38" s="75">
        <f>'Test 1'!I17</f>
        <v>7</v>
      </c>
      <c r="O38" s="75">
        <f>'Test 2'!I17</f>
        <v>18.499999999999996</v>
      </c>
      <c r="P38" s="75" t="str">
        <f>'Oral Assignment 1'!I17</f>
        <v>INVALID MARK</v>
      </c>
      <c r="Q38" s="75">
        <f>'Test 4'!I17</f>
        <v>39</v>
      </c>
    </row>
  </sheetData>
  <dataConsolidate/>
  <mergeCells count="13">
    <mergeCell ref="K19:L19"/>
    <mergeCell ref="K14:L14"/>
    <mergeCell ref="K15:L15"/>
    <mergeCell ref="K16:L16"/>
    <mergeCell ref="K17:L17"/>
    <mergeCell ref="K18:L18"/>
    <mergeCell ref="F8:I8"/>
    <mergeCell ref="F7:I7"/>
    <mergeCell ref="F3:I6"/>
    <mergeCell ref="F13:I13"/>
    <mergeCell ref="F12:I12"/>
    <mergeCell ref="F11:I11"/>
    <mergeCell ref="F10:I10"/>
  </mergeCells>
  <conditionalFormatting sqref="G28">
    <cfRule type="containsText" dxfId="141" priority="7472" operator="containsText" text="WRITE SUPP">
      <formula>NOT(ISERROR(SEARCH("WRITE SUPP",G28)))</formula>
    </cfRule>
  </conditionalFormatting>
  <conditionalFormatting sqref="K28:K38">
    <cfRule type="containsText" dxfId="140" priority="3891" operator="containsText" text="MISSING MARK">
      <formula>NOT(ISERROR(SEARCH("MISSING MARK",K28)))</formula>
    </cfRule>
    <cfRule type="containsText" dxfId="139" priority="7468" operator="containsText" text="INVALID MARK">
      <formula>NOT(ISERROR(SEARCH("INVALID MARK",K28)))</formula>
    </cfRule>
    <cfRule type="cellIs" dxfId="138" priority="7475" operator="lessThan">
      <formula>$D$12</formula>
    </cfRule>
    <cfRule type="cellIs" priority="7476" operator="greaterThanOrEqual">
      <formula>$D$12</formula>
    </cfRule>
    <cfRule type="expression" dxfId="137" priority="7477">
      <formula>"&gt;=$D$10"</formula>
    </cfRule>
  </conditionalFormatting>
  <conditionalFormatting sqref="N28:N38">
    <cfRule type="containsText" dxfId="136" priority="7469" operator="containsText" text="INVALID MARK">
      <formula>NOT(ISERROR(SEARCH("INVALID MARK",N28)))</formula>
    </cfRule>
    <cfRule type="containsText" dxfId="135" priority="7470" operator="containsText" text="INVALID ENTRY">
      <formula>NOT(ISERROR(SEARCH("INVALID ENTRY",N28)))</formula>
    </cfRule>
    <cfRule type="containsText" dxfId="134" priority="7471" operator="containsText" text="MISSING MARK">
      <formula>NOT(ISERROR(SEARCH("MISSING MARK",N28)))</formula>
    </cfRule>
  </conditionalFormatting>
  <conditionalFormatting sqref="H28">
    <cfRule type="containsText" dxfId="133" priority="7467" operator="containsText" text="FAIL">
      <formula>NOT(ISERROR(SEARCH("FAIL",H28)))</formula>
    </cfRule>
  </conditionalFormatting>
  <conditionalFormatting sqref="G29:G31">
    <cfRule type="containsText" dxfId="132" priority="4031" operator="containsText" text="WRITE SUPP">
      <formula>NOT(ISERROR(SEARCH("WRITE SUPP",G29)))</formula>
    </cfRule>
  </conditionalFormatting>
  <conditionalFormatting sqref="J28:J37">
    <cfRule type="cellIs" dxfId="131" priority="4033" operator="lessThan">
      <formula>$D$10</formula>
    </cfRule>
  </conditionalFormatting>
  <conditionalFormatting sqref="H29:H31">
    <cfRule type="containsText" dxfId="130" priority="4026" operator="containsText" text="FAIL">
      <formula>NOT(ISERROR(SEARCH("FAIL",H29)))</formula>
    </cfRule>
  </conditionalFormatting>
  <conditionalFormatting sqref="O28">
    <cfRule type="containsText" dxfId="129" priority="4019" operator="containsText" text="INVALID MARK">
      <formula>NOT(ISERROR(SEARCH("INVALID MARK",O28)))</formula>
    </cfRule>
    <cfRule type="containsText" dxfId="128" priority="4020" operator="containsText" text="INVALID ENTRY">
      <formula>NOT(ISERROR(SEARCH("INVALID ENTRY",O28)))</formula>
    </cfRule>
    <cfRule type="containsText" dxfId="127" priority="4021" operator="containsText" text="MISSING MARK">
      <formula>NOT(ISERROR(SEARCH("MISSING MARK",O28)))</formula>
    </cfRule>
  </conditionalFormatting>
  <conditionalFormatting sqref="O29:O31">
    <cfRule type="containsText" dxfId="126" priority="4016" operator="containsText" text="INVALID MARK">
      <formula>NOT(ISERROR(SEARCH("INVALID MARK",O29)))</formula>
    </cfRule>
    <cfRule type="containsText" dxfId="125" priority="4017" operator="containsText" text="INVALID ENTRY">
      <formula>NOT(ISERROR(SEARCH("INVALID ENTRY",O29)))</formula>
    </cfRule>
    <cfRule type="containsText" dxfId="124" priority="4018" operator="containsText" text="MISSING MARK">
      <formula>NOT(ISERROR(SEARCH("MISSING MARK",O29)))</formula>
    </cfRule>
  </conditionalFormatting>
  <conditionalFormatting sqref="P28">
    <cfRule type="containsText" dxfId="123" priority="4013" operator="containsText" text="INVALID MARK">
      <formula>NOT(ISERROR(SEARCH("INVALID MARK",P28)))</formula>
    </cfRule>
    <cfRule type="containsText" dxfId="122" priority="4014" operator="containsText" text="INVALID ENTRY">
      <formula>NOT(ISERROR(SEARCH("INVALID ENTRY",P28)))</formula>
    </cfRule>
    <cfRule type="containsText" dxfId="121" priority="4015" operator="containsText" text="MISSING MARK">
      <formula>NOT(ISERROR(SEARCH("MISSING MARK",P28)))</formula>
    </cfRule>
  </conditionalFormatting>
  <conditionalFormatting sqref="P29:P31">
    <cfRule type="containsText" dxfId="120" priority="4010" operator="containsText" text="INVALID MARK">
      <formula>NOT(ISERROR(SEARCH("INVALID MARK",P29)))</formula>
    </cfRule>
    <cfRule type="containsText" dxfId="119" priority="4011" operator="containsText" text="INVALID ENTRY">
      <formula>NOT(ISERROR(SEARCH("INVALID ENTRY",P29)))</formula>
    </cfRule>
    <cfRule type="containsText" dxfId="118" priority="4012" operator="containsText" text="MISSING MARK">
      <formula>NOT(ISERROR(SEARCH("MISSING MARK",P29)))</formula>
    </cfRule>
  </conditionalFormatting>
  <conditionalFormatting sqref="Q28">
    <cfRule type="containsText" dxfId="117" priority="4001" operator="containsText" text="INVALID MARK">
      <formula>NOT(ISERROR(SEARCH("INVALID MARK",Q28)))</formula>
    </cfRule>
    <cfRule type="containsText" dxfId="116" priority="4002" operator="containsText" text="INVALID ENTRY">
      <formula>NOT(ISERROR(SEARCH("INVALID ENTRY",Q28)))</formula>
    </cfRule>
    <cfRule type="containsText" dxfId="115" priority="4003" operator="containsText" text="MISSING MARK">
      <formula>NOT(ISERROR(SEARCH("MISSING MARK",Q28)))</formula>
    </cfRule>
  </conditionalFormatting>
  <conditionalFormatting sqref="Q29:Q31">
    <cfRule type="containsText" dxfId="114" priority="3998" operator="containsText" text="INVALID MARK">
      <formula>NOT(ISERROR(SEARCH("INVALID MARK",Q29)))</formula>
    </cfRule>
    <cfRule type="containsText" dxfId="113" priority="3999" operator="containsText" text="INVALID ENTRY">
      <formula>NOT(ISERROR(SEARCH("INVALID ENTRY",Q29)))</formula>
    </cfRule>
    <cfRule type="containsText" dxfId="112" priority="4000" operator="containsText" text="MISSING MARK">
      <formula>NOT(ISERROR(SEARCH("MISSING MARK",Q29)))</formula>
    </cfRule>
  </conditionalFormatting>
  <conditionalFormatting sqref="G32:G36">
    <cfRule type="containsText" dxfId="111" priority="3992" operator="containsText" text="WRITE SUPP">
      <formula>NOT(ISERROR(SEARCH("WRITE SUPP",G32)))</formula>
    </cfRule>
  </conditionalFormatting>
  <conditionalFormatting sqref="H32:H36">
    <cfRule type="containsText" dxfId="110" priority="3987" operator="containsText" text="FAIL">
      <formula>NOT(ISERROR(SEARCH("FAIL",H32)))</formula>
    </cfRule>
  </conditionalFormatting>
  <conditionalFormatting sqref="O32:O36">
    <cfRule type="containsText" dxfId="109" priority="3980" operator="containsText" text="INVALID MARK">
      <formula>NOT(ISERROR(SEARCH("INVALID MARK",O32)))</formula>
    </cfRule>
    <cfRule type="containsText" dxfId="108" priority="3981" operator="containsText" text="INVALID ENTRY">
      <formula>NOT(ISERROR(SEARCH("INVALID ENTRY",O32)))</formula>
    </cfRule>
    <cfRule type="containsText" dxfId="107" priority="3982" operator="containsText" text="MISSING MARK">
      <formula>NOT(ISERROR(SEARCH("MISSING MARK",O32)))</formula>
    </cfRule>
  </conditionalFormatting>
  <conditionalFormatting sqref="P32:P36">
    <cfRule type="containsText" dxfId="106" priority="3977" operator="containsText" text="INVALID MARK">
      <formula>NOT(ISERROR(SEARCH("INVALID MARK",P32)))</formula>
    </cfRule>
    <cfRule type="containsText" dxfId="105" priority="3978" operator="containsText" text="INVALID ENTRY">
      <formula>NOT(ISERROR(SEARCH("INVALID ENTRY",P32)))</formula>
    </cfRule>
    <cfRule type="containsText" dxfId="104" priority="3979" operator="containsText" text="MISSING MARK">
      <formula>NOT(ISERROR(SEARCH("MISSING MARK",P32)))</formula>
    </cfRule>
  </conditionalFormatting>
  <conditionalFormatting sqref="Q32:Q36">
    <cfRule type="containsText" dxfId="103" priority="3974" operator="containsText" text="INVALID MARK">
      <formula>NOT(ISERROR(SEARCH("INVALID MARK",Q32)))</formula>
    </cfRule>
    <cfRule type="containsText" dxfId="102" priority="3975" operator="containsText" text="INVALID ENTRY">
      <formula>NOT(ISERROR(SEARCH("INVALID ENTRY",Q32)))</formula>
    </cfRule>
    <cfRule type="containsText" dxfId="101" priority="3976" operator="containsText" text="MISSING MARK">
      <formula>NOT(ISERROR(SEARCH("MISSING MARK",Q32)))</formula>
    </cfRule>
  </conditionalFormatting>
  <conditionalFormatting sqref="G37">
    <cfRule type="containsText" dxfId="100" priority="3959" operator="containsText" text="WRITE SUPP">
      <formula>NOT(ISERROR(SEARCH("WRITE SUPP",G37)))</formula>
    </cfRule>
  </conditionalFormatting>
  <conditionalFormatting sqref="H37">
    <cfRule type="containsText" dxfId="99" priority="3954" operator="containsText" text="FAIL">
      <formula>NOT(ISERROR(SEARCH("FAIL",H37)))</formula>
    </cfRule>
  </conditionalFormatting>
  <conditionalFormatting sqref="O37">
    <cfRule type="containsText" dxfId="98" priority="3947" operator="containsText" text="INVALID MARK">
      <formula>NOT(ISERROR(SEARCH("INVALID MARK",O37)))</formula>
    </cfRule>
    <cfRule type="containsText" dxfId="97" priority="3948" operator="containsText" text="INVALID ENTRY">
      <formula>NOT(ISERROR(SEARCH("INVALID ENTRY",O37)))</formula>
    </cfRule>
    <cfRule type="containsText" dxfId="96" priority="3949" operator="containsText" text="MISSING MARK">
      <formula>NOT(ISERROR(SEARCH("MISSING MARK",O37)))</formula>
    </cfRule>
  </conditionalFormatting>
  <conditionalFormatting sqref="P37">
    <cfRule type="containsText" dxfId="95" priority="3944" operator="containsText" text="INVALID MARK">
      <formula>NOT(ISERROR(SEARCH("INVALID MARK",P37)))</formula>
    </cfRule>
    <cfRule type="containsText" dxfId="94" priority="3945" operator="containsText" text="INVALID ENTRY">
      <formula>NOT(ISERROR(SEARCH("INVALID ENTRY",P37)))</formula>
    </cfRule>
    <cfRule type="containsText" dxfId="93" priority="3946" operator="containsText" text="MISSING MARK">
      <formula>NOT(ISERROR(SEARCH("MISSING MARK",P37)))</formula>
    </cfRule>
  </conditionalFormatting>
  <conditionalFormatting sqref="Q37">
    <cfRule type="containsText" dxfId="92" priority="3941" operator="containsText" text="INVALID MARK">
      <formula>NOT(ISERROR(SEARCH("INVALID MARK",Q37)))</formula>
    </cfRule>
    <cfRule type="containsText" dxfId="91" priority="3942" operator="containsText" text="INVALID ENTRY">
      <formula>NOT(ISERROR(SEARCH("INVALID ENTRY",Q37)))</formula>
    </cfRule>
    <cfRule type="containsText" dxfId="90" priority="3943" operator="containsText" text="MISSING MARK">
      <formula>NOT(ISERROR(SEARCH("MISSING MARK",Q37)))</formula>
    </cfRule>
  </conditionalFormatting>
  <conditionalFormatting sqref="J38">
    <cfRule type="cellIs" dxfId="89" priority="3861" operator="lessThan">
      <formula>$D$10</formula>
    </cfRule>
  </conditionalFormatting>
  <conditionalFormatting sqref="G38">
    <cfRule type="containsText" dxfId="88" priority="3859" operator="containsText" text="WRITE SUPP">
      <formula>NOT(ISERROR(SEARCH("WRITE SUPP",G38)))</formula>
    </cfRule>
  </conditionalFormatting>
  <conditionalFormatting sqref="H38">
    <cfRule type="containsText" dxfId="87" priority="3855" operator="containsText" text="FAIL">
      <formula>NOT(ISERROR(SEARCH("FAIL",H38)))</formula>
    </cfRule>
  </conditionalFormatting>
  <conditionalFormatting sqref="O38">
    <cfRule type="containsText" dxfId="86" priority="3848" operator="containsText" text="INVALID MARK">
      <formula>NOT(ISERROR(SEARCH("INVALID MARK",O38)))</formula>
    </cfRule>
    <cfRule type="containsText" dxfId="85" priority="3849" operator="containsText" text="INVALID ENTRY">
      <formula>NOT(ISERROR(SEARCH("INVALID ENTRY",O38)))</formula>
    </cfRule>
    <cfRule type="containsText" dxfId="84" priority="3850" operator="containsText" text="MISSING MARK">
      <formula>NOT(ISERROR(SEARCH("MISSING MARK",O38)))</formula>
    </cfRule>
  </conditionalFormatting>
  <conditionalFormatting sqref="P38">
    <cfRule type="containsText" dxfId="83" priority="3845" operator="containsText" text="INVALID MARK">
      <formula>NOT(ISERROR(SEARCH("INVALID MARK",P38)))</formula>
    </cfRule>
    <cfRule type="containsText" dxfId="82" priority="3846" operator="containsText" text="INVALID ENTRY">
      <formula>NOT(ISERROR(SEARCH("INVALID ENTRY",P38)))</formula>
    </cfRule>
    <cfRule type="containsText" dxfId="81" priority="3847" operator="containsText" text="MISSING MARK">
      <formula>NOT(ISERROR(SEARCH("MISSING MARK",P38)))</formula>
    </cfRule>
  </conditionalFormatting>
  <conditionalFormatting sqref="Q38">
    <cfRule type="containsText" dxfId="80" priority="3842" operator="containsText" text="INVALID MARK">
      <formula>NOT(ISERROR(SEARCH("INVALID MARK",Q38)))</formula>
    </cfRule>
    <cfRule type="containsText" dxfId="79" priority="3843" operator="containsText" text="INVALID ENTRY">
      <formula>NOT(ISERROR(SEARCH("INVALID ENTRY",Q38)))</formula>
    </cfRule>
    <cfRule type="containsText" dxfId="78" priority="3844" operator="containsText" text="MISSING MARK">
      <formula>NOT(ISERROR(SEARCH("MISSING MARK",Q38)))</formula>
    </cfRule>
  </conditionalFormatting>
  <conditionalFormatting sqref="K28:K38">
    <cfRule type="containsText" dxfId="77" priority="2710" operator="containsText" text="INVALID ENTRY">
      <formula>NOT(ISERROR(SEARCH("INVALID ENTRY",K28)))</formula>
    </cfRule>
  </conditionalFormatting>
  <conditionalFormatting sqref="I28:I38">
    <cfRule type="cellIs" dxfId="76" priority="1548" operator="equal">
      <formula>$L$11</formula>
    </cfRule>
    <cfRule type="cellIs" dxfId="75" priority="1550" operator="equal">
      <formula>$L$9</formula>
    </cfRule>
    <cfRule type="cellIs" dxfId="74" priority="1564" operator="equal">
      <formula>$L$8</formula>
    </cfRule>
    <cfRule type="cellIs" dxfId="73" priority="1566" operator="equal">
      <formula>$L$6</formula>
    </cfRule>
    <cfRule type="cellIs" dxfId="72" priority="1567" operator="equal">
      <formula>$L$5</formula>
    </cfRule>
    <cfRule type="cellIs" dxfId="71" priority="1572" operator="equal">
      <formula>$L$4</formula>
    </cfRule>
  </conditionalFormatting>
  <conditionalFormatting sqref="I28:I38">
    <cfRule type="cellIs" dxfId="70" priority="1546" operator="equal">
      <formula>$L$13</formula>
    </cfRule>
    <cfRule type="cellIs" dxfId="69" priority="1547" operator="equal">
      <formula>$L$12</formula>
    </cfRule>
    <cfRule type="cellIs" dxfId="68" priority="1549" operator="equal">
      <formula>$L$10</formula>
    </cfRule>
    <cfRule type="cellIs" dxfId="67" priority="1565" operator="equal">
      <formula>$L$7</formula>
    </cfRule>
  </conditionalFormatting>
  <dataValidations count="3">
    <dataValidation type="decimal" allowBlank="1" showInputMessage="1" showErrorMessage="1" sqref="D10:D13">
      <formula1>0</formula1>
      <formula2>1</formula2>
    </dataValidation>
    <dataValidation type="whole" allowBlank="1" showInputMessage="1" showErrorMessage="1" sqref="D7">
      <formula1>0</formula1>
      <formula2>200</formula2>
    </dataValidation>
    <dataValidation type="whole" allowBlank="1" showInputMessage="1" showErrorMessage="1" sqref="D8">
      <formula1>0</formula1>
      <formula2>20</formula2>
    </dataValidation>
  </dataValidations>
  <pageMargins left="0.7" right="0.7" top="0.75" bottom="0.75" header="0.3" footer="0.3"/>
  <pageSetup orientation="portrait" horizontalDpi="1200" verticalDpi="1200" r:id="rId1"/>
  <ignoredErrors>
    <ignoredError sqref="F28:F35 F36 F38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DV17"/>
  <sheetViews>
    <sheetView zoomScaleNormal="100" workbookViewId="0"/>
  </sheetViews>
  <sheetFormatPr defaultRowHeight="15" x14ac:dyDescent="0.25"/>
  <cols>
    <col min="1" max="1" width="9.140625" style="5"/>
    <col min="2" max="2" width="9.140625" style="5" customWidth="1"/>
    <col min="3" max="3" width="11" style="5" bestFit="1" customWidth="1"/>
    <col min="4" max="4" width="6.85546875" style="5" bestFit="1" customWidth="1"/>
    <col min="5" max="5" width="17.28515625" style="5" customWidth="1"/>
    <col min="6" max="6" width="17.28515625" style="5" bestFit="1" customWidth="1"/>
    <col min="7" max="7" width="15.85546875" style="5" bestFit="1" customWidth="1"/>
    <col min="8" max="8" width="15.85546875" style="4" bestFit="1" customWidth="1"/>
    <col min="9" max="9" width="14.42578125" style="19" bestFit="1" customWidth="1"/>
    <col min="10" max="10" width="11" style="8" bestFit="1" customWidth="1"/>
    <col min="11" max="11" width="29.140625" style="17" bestFit="1" customWidth="1"/>
    <col min="12" max="21" width="18.85546875" style="9" customWidth="1"/>
    <col min="22" max="24" width="9.140625" style="5"/>
    <col min="25" max="25" width="11" style="5" bestFit="1" customWidth="1"/>
    <col min="26" max="26" width="6.85546875" style="5" bestFit="1" customWidth="1"/>
    <col min="27" max="27" width="16.42578125" style="5" bestFit="1" customWidth="1"/>
    <col min="28" max="28" width="13.85546875" style="5" bestFit="1" customWidth="1"/>
    <col min="29" max="30" width="15.85546875" style="5" bestFit="1" customWidth="1"/>
    <col min="31" max="31" width="10.28515625" style="5" bestFit="1" customWidth="1"/>
    <col min="32" max="33" width="9.42578125" style="5" bestFit="1" customWidth="1"/>
    <col min="34" max="40" width="9" style="5" bestFit="1" customWidth="1"/>
    <col min="41" max="41" width="10" style="5" bestFit="1" customWidth="1"/>
    <col min="42" max="42" width="11" style="5" bestFit="1" customWidth="1"/>
    <col min="43" max="16384" width="9.140625" style="5"/>
  </cols>
  <sheetData>
    <row r="3" spans="3:126" ht="15.75" thickBot="1" x14ac:dyDescent="0.3">
      <c r="C3" s="7" t="s">
        <v>6</v>
      </c>
      <c r="D3" s="3" t="str">
        <f ca="1">MID(CELL("filename",A1),FIND("]",CELL("filename",A1))+1,255)</f>
        <v>Test 1</v>
      </c>
      <c r="F3" s="7" t="s">
        <v>74</v>
      </c>
      <c r="G3" s="4">
        <v>0</v>
      </c>
    </row>
    <row r="4" spans="3:126" ht="123.75" customHeight="1" thickBot="1" x14ac:dyDescent="0.3">
      <c r="C4" s="21"/>
      <c r="F4" s="125" t="s">
        <v>75</v>
      </c>
      <c r="G4" s="125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Y4" s="7"/>
      <c r="Z4" s="3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T4" s="7"/>
      <c r="AU4" s="3"/>
      <c r="AY4" s="4"/>
      <c r="AZ4" s="17"/>
      <c r="BA4" s="9"/>
      <c r="BB4" s="9"/>
      <c r="BC4" s="9"/>
      <c r="BD4" s="9"/>
      <c r="BE4" s="9"/>
      <c r="BF4" s="9"/>
      <c r="BG4" s="9"/>
      <c r="BH4" s="9"/>
      <c r="BI4" s="9"/>
      <c r="BJ4" s="9"/>
      <c r="BK4" s="8"/>
      <c r="BO4" s="7"/>
      <c r="BP4" s="3"/>
      <c r="BT4" s="4"/>
      <c r="BU4" s="17"/>
      <c r="BV4" s="9"/>
      <c r="BW4" s="9"/>
      <c r="BX4" s="9"/>
      <c r="BY4" s="9"/>
      <c r="BZ4" s="9"/>
      <c r="CA4" s="9"/>
      <c r="CB4" s="9"/>
      <c r="CC4" s="9"/>
      <c r="CD4" s="9"/>
      <c r="CE4" s="9"/>
      <c r="CF4" s="8"/>
      <c r="CJ4" s="7"/>
      <c r="CK4" s="3"/>
      <c r="CO4" s="4"/>
      <c r="CP4" s="17"/>
      <c r="CQ4" s="9"/>
      <c r="CR4" s="9"/>
      <c r="CS4" s="9"/>
      <c r="CT4" s="9"/>
      <c r="CU4" s="9"/>
      <c r="CV4" s="9"/>
      <c r="CW4" s="9"/>
      <c r="CX4" s="9"/>
      <c r="CY4" s="9"/>
      <c r="CZ4" s="9"/>
      <c r="DA4" s="8"/>
      <c r="DE4" s="7"/>
      <c r="DF4" s="3"/>
      <c r="DJ4" s="4"/>
      <c r="DK4" s="17"/>
      <c r="DL4" s="9"/>
      <c r="DM4" s="9"/>
      <c r="DN4" s="9"/>
      <c r="DO4" s="9"/>
      <c r="DP4" s="9"/>
      <c r="DQ4" s="9"/>
      <c r="DR4" s="9"/>
      <c r="DS4" s="9"/>
      <c r="DT4" s="9"/>
      <c r="DU4" s="9"/>
      <c r="DV4" s="8"/>
    </row>
    <row r="5" spans="3:126" s="7" customFormat="1" ht="15.75" thickBot="1" x14ac:dyDescent="0.3"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Y5" s="6"/>
      <c r="AZ5" s="12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0"/>
      <c r="BT5" s="6"/>
      <c r="BU5" s="12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0"/>
      <c r="CO5" s="6"/>
      <c r="CP5" s="12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0"/>
      <c r="DJ5" s="6"/>
      <c r="DK5" s="12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0"/>
    </row>
    <row r="6" spans="3:126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</v>
      </c>
      <c r="J6" s="79"/>
      <c r="K6" s="80">
        <f t="shared" ref="K6" si="0">SUM(L6:U6)</f>
        <v>10</v>
      </c>
      <c r="L6" s="81">
        <v>10</v>
      </c>
      <c r="M6" s="81"/>
      <c r="N6" s="81"/>
      <c r="O6" s="81"/>
      <c r="P6" s="81"/>
      <c r="Q6" s="81"/>
      <c r="R6" s="81"/>
      <c r="S6" s="81"/>
      <c r="T6" s="81"/>
      <c r="U6" s="81"/>
      <c r="V6" s="34"/>
      <c r="Z6" s="13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U6" s="13"/>
      <c r="AY6" s="16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P6" s="13"/>
      <c r="BT6" s="16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K6" s="13"/>
      <c r="CO6" s="16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F6" s="13"/>
      <c r="DJ6" s="16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</row>
    <row r="7" spans="3:126" x14ac:dyDescent="0.25"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" si="1">IF(K7/K$6-J7&gt;=0, K7/K$6-J7, 0)</f>
        <v>0.4</v>
      </c>
      <c r="I7" s="20">
        <f t="shared" ref="I7:I17" si="2">ERROR_CHECK_MARK(L7:U7,L$6:U$6,H7,K$6)</f>
        <v>4</v>
      </c>
      <c r="J7" s="28">
        <v>0</v>
      </c>
      <c r="K7" s="24">
        <f t="shared" ref="K7" si="3">SUM(L7:U7)</f>
        <v>4</v>
      </c>
      <c r="L7" s="9">
        <v>4</v>
      </c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Y7" s="18"/>
      <c r="AZ7" s="17"/>
      <c r="BA7" s="9"/>
      <c r="BB7" s="9"/>
      <c r="BC7" s="9"/>
      <c r="BD7" s="9"/>
      <c r="BE7" s="9"/>
      <c r="BF7" s="9"/>
      <c r="BG7" s="9"/>
      <c r="BH7" s="9"/>
      <c r="BI7" s="9"/>
      <c r="BJ7" s="9"/>
      <c r="BK7" s="8"/>
      <c r="BT7" s="18"/>
      <c r="BU7" s="17"/>
      <c r="BV7" s="9"/>
      <c r="BW7" s="9"/>
      <c r="BX7" s="9"/>
      <c r="BY7" s="9"/>
      <c r="BZ7" s="9"/>
      <c r="CA7" s="9"/>
      <c r="CB7" s="9"/>
      <c r="CC7" s="9"/>
      <c r="CD7" s="9"/>
      <c r="CE7" s="9"/>
      <c r="CF7" s="8"/>
      <c r="CO7" s="18"/>
      <c r="CP7" s="17"/>
      <c r="CQ7" s="9"/>
      <c r="CR7" s="9"/>
      <c r="CS7" s="9"/>
      <c r="CT7" s="9"/>
      <c r="CU7" s="9"/>
      <c r="CV7" s="9"/>
      <c r="CW7" s="9"/>
      <c r="CX7" s="9"/>
      <c r="CY7" s="9"/>
      <c r="CZ7" s="9"/>
      <c r="DA7" s="8"/>
      <c r="DJ7" s="18"/>
      <c r="DK7" s="17"/>
      <c r="DL7" s="9"/>
      <c r="DM7" s="9"/>
      <c r="DN7" s="9"/>
      <c r="DO7" s="9"/>
      <c r="DP7" s="9"/>
      <c r="DQ7" s="9"/>
      <c r="DR7" s="9"/>
      <c r="DS7" s="9"/>
      <c r="DT7" s="9"/>
      <c r="DU7" s="9"/>
      <c r="DV7" s="8"/>
    </row>
    <row r="8" spans="3:126" x14ac:dyDescent="0.25">
      <c r="D8" s="2" t="str">
        <f t="shared" ref="D8:D10" si="4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ref="H8:H10" si="5">IF(K8/K$6-J8&gt;=0, K8/K$6-J8, 0)</f>
        <v>0.8</v>
      </c>
      <c r="I8" s="20">
        <f t="shared" si="2"/>
        <v>8</v>
      </c>
      <c r="J8" s="28">
        <v>0</v>
      </c>
      <c r="K8" s="24">
        <f t="shared" ref="K8:K10" si="6">SUM(L8:U8)</f>
        <v>8</v>
      </c>
      <c r="L8" s="9">
        <v>8</v>
      </c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Y8" s="18"/>
      <c r="AZ8" s="17"/>
      <c r="BA8" s="9"/>
      <c r="BB8" s="9"/>
      <c r="BC8" s="9"/>
      <c r="BD8" s="9"/>
      <c r="BE8" s="9"/>
      <c r="BF8" s="9"/>
      <c r="BG8" s="9"/>
      <c r="BH8" s="9"/>
      <c r="BI8" s="9"/>
      <c r="BJ8" s="9"/>
      <c r="BK8" s="8"/>
      <c r="BT8" s="18"/>
      <c r="BU8" s="17"/>
      <c r="BV8" s="9"/>
      <c r="BW8" s="9"/>
      <c r="BX8" s="9"/>
      <c r="BY8" s="9"/>
      <c r="BZ8" s="9"/>
      <c r="CA8" s="9"/>
      <c r="CB8" s="9"/>
      <c r="CC8" s="9"/>
      <c r="CD8" s="9"/>
      <c r="CE8" s="9"/>
      <c r="CF8" s="8"/>
      <c r="CO8" s="18"/>
      <c r="CP8" s="17"/>
      <c r="CQ8" s="9"/>
      <c r="CR8" s="9"/>
      <c r="CS8" s="9"/>
      <c r="CT8" s="9"/>
      <c r="CU8" s="9"/>
      <c r="CV8" s="9"/>
      <c r="CW8" s="9"/>
      <c r="CX8" s="9"/>
      <c r="CY8" s="9"/>
      <c r="CZ8" s="9"/>
      <c r="DA8" s="8"/>
      <c r="DJ8" s="18"/>
      <c r="DK8" s="17"/>
      <c r="DL8" s="9"/>
      <c r="DM8" s="9"/>
      <c r="DN8" s="9"/>
      <c r="DO8" s="9"/>
      <c r="DP8" s="9"/>
      <c r="DQ8" s="9"/>
      <c r="DR8" s="9"/>
      <c r="DS8" s="9"/>
      <c r="DT8" s="9"/>
      <c r="DU8" s="9"/>
      <c r="DV8" s="8"/>
    </row>
    <row r="9" spans="3:126" x14ac:dyDescent="0.25">
      <c r="D9" s="2" t="str">
        <f t="shared" si="4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5"/>
        <v>0.4</v>
      </c>
      <c r="I9" s="20">
        <f t="shared" si="2"/>
        <v>4</v>
      </c>
      <c r="J9" s="28">
        <v>0</v>
      </c>
      <c r="K9" s="24">
        <f t="shared" si="6"/>
        <v>4</v>
      </c>
      <c r="L9" s="9">
        <v>4</v>
      </c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Y9" s="18"/>
      <c r="AZ9" s="17"/>
      <c r="BA9" s="9"/>
      <c r="BB9" s="9"/>
      <c r="BC9" s="9"/>
      <c r="BD9" s="9"/>
      <c r="BE9" s="9"/>
      <c r="BF9" s="9"/>
      <c r="BG9" s="9"/>
      <c r="BH9" s="9"/>
      <c r="BI9" s="9"/>
      <c r="BJ9" s="9"/>
      <c r="BK9" s="8"/>
      <c r="BT9" s="18"/>
      <c r="BU9" s="17"/>
      <c r="BV9" s="9"/>
      <c r="BW9" s="9"/>
      <c r="BX9" s="9"/>
      <c r="BY9" s="9"/>
      <c r="BZ9" s="9"/>
      <c r="CA9" s="9"/>
      <c r="CB9" s="9"/>
      <c r="CC9" s="9"/>
      <c r="CD9" s="9"/>
      <c r="CE9" s="9"/>
      <c r="CF9" s="8"/>
      <c r="CO9" s="18"/>
      <c r="CP9" s="17"/>
      <c r="CQ9" s="9"/>
      <c r="CR9" s="9"/>
      <c r="CS9" s="9"/>
      <c r="CT9" s="9"/>
      <c r="CU9" s="9"/>
      <c r="CV9" s="9"/>
      <c r="CW9" s="9"/>
      <c r="CX9" s="9"/>
      <c r="CY9" s="9"/>
      <c r="CZ9" s="9"/>
      <c r="DA9" s="8"/>
      <c r="DJ9" s="18"/>
      <c r="DK9" s="17"/>
      <c r="DL9" s="9"/>
      <c r="DM9" s="9"/>
      <c r="DN9" s="9"/>
      <c r="DO9" s="9"/>
      <c r="DP9" s="9"/>
      <c r="DQ9" s="9"/>
      <c r="DR9" s="9"/>
      <c r="DS9" s="9"/>
      <c r="DT9" s="9"/>
      <c r="DU9" s="9"/>
      <c r="DV9" s="8"/>
    </row>
    <row r="10" spans="3:126" x14ac:dyDescent="0.25">
      <c r="D10" s="2" t="str">
        <f t="shared" si="4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5"/>
        <v>0.5</v>
      </c>
      <c r="I10" s="20">
        <f t="shared" si="2"/>
        <v>5</v>
      </c>
      <c r="J10" s="28">
        <v>0</v>
      </c>
      <c r="K10" s="24">
        <f t="shared" si="6"/>
        <v>5</v>
      </c>
      <c r="L10" s="9">
        <v>5</v>
      </c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Y10" s="18"/>
      <c r="AZ10" s="17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8"/>
      <c r="BT10" s="18"/>
      <c r="BU10" s="17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8"/>
      <c r="CO10" s="18"/>
      <c r="CP10" s="17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8"/>
      <c r="DJ10" s="18"/>
      <c r="DK10" s="17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8"/>
    </row>
    <row r="11" spans="3:126" x14ac:dyDescent="0.25">
      <c r="D11" s="2" t="str">
        <f t="shared" ref="D11:D15" si="7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8">IF(K11/K$6-J11&gt;=0, K11/K$6-J11, 0)</f>
        <v>0.6</v>
      </c>
      <c r="I11" s="20">
        <f t="shared" si="2"/>
        <v>6</v>
      </c>
      <c r="J11" s="28">
        <v>0</v>
      </c>
      <c r="K11" s="24">
        <f t="shared" ref="K11:K15" si="9">SUM(L11:U11)</f>
        <v>6</v>
      </c>
      <c r="L11" s="9">
        <v>6</v>
      </c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Y11" s="18"/>
      <c r="AZ11" s="17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8"/>
      <c r="BT11" s="18"/>
      <c r="BU11" s="17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8"/>
      <c r="CO11" s="18"/>
      <c r="CP11" s="17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8"/>
      <c r="DJ11" s="18"/>
      <c r="DK11" s="17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8"/>
    </row>
    <row r="12" spans="3:126" x14ac:dyDescent="0.25">
      <c r="D12" s="2" t="str">
        <f t="shared" si="7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8"/>
        <v>0.35000000000000003</v>
      </c>
      <c r="I12" s="20">
        <f t="shared" si="2"/>
        <v>3.5000000000000004</v>
      </c>
      <c r="J12" s="28">
        <v>0.05</v>
      </c>
      <c r="K12" s="24">
        <f t="shared" si="9"/>
        <v>4</v>
      </c>
      <c r="L12" s="9">
        <v>4</v>
      </c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Y12" s="18"/>
      <c r="AZ12" s="17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8"/>
      <c r="BT12" s="18"/>
      <c r="BU12" s="17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8"/>
      <c r="CO12" s="18"/>
      <c r="CP12" s="17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8"/>
      <c r="DJ12" s="18"/>
      <c r="DK12" s="17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8"/>
    </row>
    <row r="13" spans="3:126" x14ac:dyDescent="0.25">
      <c r="D13" s="2" t="str">
        <f t="shared" si="7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8"/>
        <v>0.6</v>
      </c>
      <c r="I13" s="20">
        <f t="shared" si="2"/>
        <v>6</v>
      </c>
      <c r="J13" s="28">
        <v>0</v>
      </c>
      <c r="K13" s="24">
        <f t="shared" si="9"/>
        <v>6</v>
      </c>
      <c r="L13" s="9">
        <v>6</v>
      </c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Y13" s="18"/>
      <c r="AZ13" s="17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8"/>
      <c r="BT13" s="18"/>
      <c r="BU13" s="17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8"/>
      <c r="CO13" s="18"/>
      <c r="CP13" s="17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8"/>
      <c r="DJ13" s="18"/>
      <c r="DK13" s="17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8"/>
    </row>
    <row r="14" spans="3:126" x14ac:dyDescent="0.25">
      <c r="D14" s="2" t="str">
        <f t="shared" si="7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8"/>
        <v>5.6</v>
      </c>
      <c r="I14" s="20" t="str">
        <f t="shared" si="2"/>
        <v>INVALID MARK</v>
      </c>
      <c r="J14" s="28">
        <v>0</v>
      </c>
      <c r="K14" s="24">
        <f t="shared" si="9"/>
        <v>56</v>
      </c>
      <c r="L14" s="9">
        <v>56</v>
      </c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Y14" s="18"/>
      <c r="AZ14" s="17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8"/>
      <c r="BT14" s="18"/>
      <c r="BU14" s="17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8"/>
      <c r="CO14" s="18"/>
      <c r="CP14" s="17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8"/>
      <c r="DJ14" s="18"/>
      <c r="DK14" s="17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8"/>
    </row>
    <row r="15" spans="3:126" x14ac:dyDescent="0.25">
      <c r="D15" s="2" t="str">
        <f t="shared" si="7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8"/>
        <v>0.9</v>
      </c>
      <c r="I15" s="20">
        <f t="shared" si="2"/>
        <v>9</v>
      </c>
      <c r="J15" s="28">
        <v>0</v>
      </c>
      <c r="K15" s="24">
        <f t="shared" si="9"/>
        <v>9</v>
      </c>
      <c r="L15" s="9">
        <v>9</v>
      </c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Y15" s="18"/>
      <c r="AZ15" s="17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8"/>
      <c r="BT15" s="18"/>
      <c r="BU15" s="17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8"/>
      <c r="CO15" s="18"/>
      <c r="CP15" s="17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8"/>
      <c r="DJ15" s="18"/>
      <c r="DK15" s="17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8"/>
    </row>
    <row r="16" spans="3:126" x14ac:dyDescent="0.25">
      <c r="D16" s="2" t="str">
        <f t="shared" ref="D16" si="10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11">IF(K16/K$6-J16&gt;=0, K16/K$6-J16, 0)</f>
        <v>1</v>
      </c>
      <c r="I16" s="20">
        <f t="shared" si="2"/>
        <v>10</v>
      </c>
      <c r="J16" s="28">
        <v>0</v>
      </c>
      <c r="K16" s="24">
        <f t="shared" ref="K16" si="12">SUM(L16:U16)</f>
        <v>10</v>
      </c>
      <c r="L16" s="9">
        <v>10</v>
      </c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Y16" s="18"/>
      <c r="AZ16" s="17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8"/>
      <c r="BT16" s="18"/>
      <c r="BU16" s="17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8"/>
      <c r="CO16" s="18"/>
      <c r="CP16" s="17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8"/>
      <c r="DJ16" s="18"/>
      <c r="DK16" s="17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8"/>
    </row>
    <row r="17" spans="4:126" x14ac:dyDescent="0.25">
      <c r="D17" s="2" t="str">
        <f t="shared" ref="D17" si="13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4">IF(K17/K$6-J17&gt;=0, K17/K$6-J17, 0)</f>
        <v>0.7</v>
      </c>
      <c r="I17" s="20">
        <f t="shared" si="2"/>
        <v>7</v>
      </c>
      <c r="J17" s="28">
        <v>0</v>
      </c>
      <c r="K17" s="24">
        <f t="shared" ref="K17" si="15">SUM(L17:U17)</f>
        <v>7</v>
      </c>
      <c r="L17" s="9">
        <v>7</v>
      </c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Y17" s="18"/>
      <c r="AZ17" s="17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8"/>
      <c r="BT17" s="18"/>
      <c r="BU17" s="17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8"/>
      <c r="CO17" s="18"/>
      <c r="CP17" s="17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8"/>
      <c r="DJ17" s="18"/>
      <c r="DK17" s="17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8"/>
    </row>
  </sheetData>
  <mergeCells count="1">
    <mergeCell ref="F4:G4"/>
  </mergeCells>
  <conditionalFormatting sqref="I7:I17">
    <cfRule type="containsText" dxfId="66" priority="566" operator="containsText" text="INVALID MARK">
      <formula>NOT(ISERROR(SEARCH("INVALID MARK",I7)))</formula>
    </cfRule>
    <cfRule type="containsText" dxfId="65" priority="567" operator="containsText" text="INVALID ENTRY">
      <formula>NOT(ISERROR(SEARCH("INVALID ENTRY",I7)))</formula>
    </cfRule>
    <cfRule type="containsText" dxfId="64" priority="568" operator="containsText" text="MISSING MARK">
      <formula>NOT(ISERROR(SEARCH("MISSING MARK",I7)))</formula>
    </cfRule>
  </conditionalFormatting>
  <conditionalFormatting sqref="D7">
    <cfRule type="containsText" dxfId="63" priority="396" operator="containsText" text="FAIL">
      <formula>NOT(ISERROR(SEARCH("FAIL",D7)))</formula>
    </cfRule>
    <cfRule type="containsText" dxfId="62" priority="397" operator="containsText" text="PASS">
      <formula>NOT(ISERROR(SEARCH("PASS",D7)))</formula>
    </cfRule>
  </conditionalFormatting>
  <conditionalFormatting sqref="D8:D10">
    <cfRule type="containsText" dxfId="61" priority="381" operator="containsText" text="FAIL">
      <formula>NOT(ISERROR(SEARCH("FAIL",D8)))</formula>
    </cfRule>
    <cfRule type="containsText" dxfId="60" priority="382" operator="containsText" text="PASS">
      <formula>NOT(ISERROR(SEARCH("PASS",D8)))</formula>
    </cfRule>
  </conditionalFormatting>
  <conditionalFormatting sqref="D11:D15">
    <cfRule type="containsText" dxfId="59" priority="376" operator="containsText" text="FAIL">
      <formula>NOT(ISERROR(SEARCH("FAIL",D11)))</formula>
    </cfRule>
    <cfRule type="containsText" dxfId="58" priority="377" operator="containsText" text="PASS">
      <formula>NOT(ISERROR(SEARCH("PASS",D11)))</formula>
    </cfRule>
  </conditionalFormatting>
  <conditionalFormatting sqref="D16">
    <cfRule type="containsText" dxfId="57" priority="371" operator="containsText" text="FAIL">
      <formula>NOT(ISERROR(SEARCH("FAIL",D16)))</formula>
    </cfRule>
    <cfRule type="containsText" dxfId="56" priority="372" operator="containsText" text="PASS">
      <formula>NOT(ISERROR(SEARCH("PASS",D16)))</formula>
    </cfRule>
  </conditionalFormatting>
  <conditionalFormatting sqref="D17">
    <cfRule type="containsText" dxfId="55" priority="351" operator="containsText" text="FAIL">
      <formula>NOT(ISERROR(SEARCH("FAIL",D17)))</formula>
    </cfRule>
    <cfRule type="containsText" dxfId="54" priority="352" operator="containsText" text="PASS">
      <formula>NOT(ISERROR(SEARCH("PASS",D17)))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A17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2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75</v>
      </c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30</v>
      </c>
      <c r="J6" s="79"/>
      <c r="K6" s="80">
        <f t="shared" ref="K6" si="0">SUM(L6:U6)</f>
        <v>30</v>
      </c>
      <c r="L6" s="81">
        <v>10</v>
      </c>
      <c r="M6" s="81">
        <v>15</v>
      </c>
      <c r="N6" s="81">
        <v>5</v>
      </c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0" si="1">IF(K7/K$6-J7&gt;=0, K7/K$6-J7, 0)</f>
        <v>0.68333333333333335</v>
      </c>
      <c r="I7" s="20">
        <f t="shared" ref="I7:I17" si="2">ERROR_CHECK_MARK(L7:U7,L$6:U$6,H7,K$6)</f>
        <v>20.5</v>
      </c>
      <c r="J7" s="28">
        <v>0</v>
      </c>
      <c r="K7" s="24">
        <f t="shared" ref="K7:K10" si="3">SUM(L7:U7)</f>
        <v>20.5</v>
      </c>
      <c r="L7" s="9">
        <v>6.5</v>
      </c>
      <c r="M7" s="9">
        <v>10</v>
      </c>
      <c r="N7" s="9">
        <v>4</v>
      </c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4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0.85</v>
      </c>
      <c r="I8" s="20">
        <f t="shared" si="2"/>
        <v>25.5</v>
      </c>
      <c r="J8" s="28">
        <v>0</v>
      </c>
      <c r="K8" s="24">
        <f t="shared" si="3"/>
        <v>25.5</v>
      </c>
      <c r="L8" s="9">
        <v>7.5</v>
      </c>
      <c r="M8" s="9">
        <v>13</v>
      </c>
      <c r="N8" s="9">
        <v>5</v>
      </c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4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0.35000000000000003</v>
      </c>
      <c r="I9" s="20">
        <f t="shared" si="2"/>
        <v>10.500000000000002</v>
      </c>
      <c r="J9" s="28">
        <v>0.05</v>
      </c>
      <c r="K9" s="24">
        <f t="shared" si="3"/>
        <v>12</v>
      </c>
      <c r="L9" s="9">
        <v>6</v>
      </c>
      <c r="M9" s="9">
        <v>3</v>
      </c>
      <c r="N9" s="9">
        <v>3</v>
      </c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4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0.56666666666666665</v>
      </c>
      <c r="I10" s="20">
        <f t="shared" si="2"/>
        <v>17</v>
      </c>
      <c r="J10" s="28">
        <v>0</v>
      </c>
      <c r="K10" s="24">
        <f t="shared" si="3"/>
        <v>17</v>
      </c>
      <c r="L10" s="9">
        <v>6</v>
      </c>
      <c r="M10" s="9">
        <v>8</v>
      </c>
      <c r="N10" s="9">
        <v>3</v>
      </c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5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6">IF(K11/K$6-J11&gt;=0, K11/K$6-J11, 0)</f>
        <v>0.6</v>
      </c>
      <c r="I11" s="20">
        <f t="shared" si="2"/>
        <v>18</v>
      </c>
      <c r="J11" s="28">
        <v>0</v>
      </c>
      <c r="K11" s="24">
        <f t="shared" ref="K11:K15" si="7">SUM(L11:U11)</f>
        <v>18</v>
      </c>
      <c r="L11" s="9">
        <v>3</v>
      </c>
      <c r="M11" s="9">
        <v>13</v>
      </c>
      <c r="N11" s="9">
        <v>2</v>
      </c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5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6"/>
        <v>0.36666666666666664</v>
      </c>
      <c r="I12" s="20">
        <f t="shared" si="2"/>
        <v>11</v>
      </c>
      <c r="J12" s="28">
        <v>0</v>
      </c>
      <c r="K12" s="24">
        <f t="shared" si="7"/>
        <v>11</v>
      </c>
      <c r="L12" s="9">
        <v>3</v>
      </c>
      <c r="M12" s="9">
        <v>7</v>
      </c>
      <c r="N12" s="9">
        <v>1</v>
      </c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5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6"/>
        <v>0.41666666666666669</v>
      </c>
      <c r="I13" s="20" t="str">
        <f t="shared" si="2"/>
        <v>INVALID ENTRY</v>
      </c>
      <c r="J13" s="28">
        <v>0</v>
      </c>
      <c r="K13" s="24">
        <f t="shared" si="7"/>
        <v>12.5</v>
      </c>
      <c r="L13" s="9">
        <v>6.5</v>
      </c>
      <c r="M13" s="9"/>
      <c r="N13" s="9">
        <v>3</v>
      </c>
      <c r="O13" s="9"/>
      <c r="P13" s="9">
        <v>3</v>
      </c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5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6"/>
        <v>0.6166666666666667</v>
      </c>
      <c r="I14" s="20">
        <f t="shared" si="2"/>
        <v>18.5</v>
      </c>
      <c r="J14" s="28">
        <v>0</v>
      </c>
      <c r="K14" s="24">
        <f t="shared" si="7"/>
        <v>18.5</v>
      </c>
      <c r="L14" s="9">
        <v>8</v>
      </c>
      <c r="M14" s="9">
        <v>7.5</v>
      </c>
      <c r="N14" s="9">
        <v>3</v>
      </c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5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6"/>
        <v>0.46666666666666667</v>
      </c>
      <c r="I15" s="20">
        <f t="shared" si="2"/>
        <v>14</v>
      </c>
      <c r="J15" s="28">
        <v>0</v>
      </c>
      <c r="K15" s="24">
        <f t="shared" si="7"/>
        <v>14</v>
      </c>
      <c r="L15" s="9">
        <v>9</v>
      </c>
      <c r="M15" s="9">
        <v>5</v>
      </c>
      <c r="N15" s="9">
        <v>0</v>
      </c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8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9">IF(K16/K$6-J16&gt;=0, K16/K$6-J16, 0)</f>
        <v>0.7</v>
      </c>
      <c r="I16" s="20">
        <f t="shared" si="2"/>
        <v>21</v>
      </c>
      <c r="J16" s="28">
        <v>0</v>
      </c>
      <c r="K16" s="24">
        <f t="shared" ref="K16" si="10">SUM(L16:U16)</f>
        <v>21</v>
      </c>
      <c r="L16" s="9">
        <v>8</v>
      </c>
      <c r="M16" s="9">
        <v>10</v>
      </c>
      <c r="N16" s="9">
        <v>3</v>
      </c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1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2">IF(K17/K$6-J17&gt;=0, K17/K$6-J17, 0)</f>
        <v>0.61666666666666659</v>
      </c>
      <c r="I17" s="20">
        <f t="shared" si="2"/>
        <v>18.499999999999996</v>
      </c>
      <c r="J17" s="28">
        <v>0.05</v>
      </c>
      <c r="K17" s="24">
        <f t="shared" ref="K17" si="13">SUM(L17:U17)</f>
        <v>20</v>
      </c>
      <c r="L17" s="9">
        <v>6</v>
      </c>
      <c r="M17" s="9">
        <v>12</v>
      </c>
      <c r="N17" s="9">
        <v>2</v>
      </c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</sheetData>
  <mergeCells count="1">
    <mergeCell ref="F4:G4"/>
  </mergeCells>
  <conditionalFormatting sqref="I7:I17">
    <cfRule type="containsText" dxfId="53" priority="388" operator="containsText" text="INVALID MARK">
      <formula>NOT(ISERROR(SEARCH("INVALID MARK",I7)))</formula>
    </cfRule>
    <cfRule type="containsText" dxfId="52" priority="389" operator="containsText" text="INVALID ENTRY">
      <formula>NOT(ISERROR(SEARCH("INVALID ENTRY",I7)))</formula>
    </cfRule>
    <cfRule type="containsText" dxfId="51" priority="390" operator="containsText" text="MISSING MARK">
      <formula>NOT(ISERROR(SEARCH("MISSING MARK",I7)))</formula>
    </cfRule>
  </conditionalFormatting>
  <conditionalFormatting sqref="D7">
    <cfRule type="containsText" dxfId="50" priority="386" operator="containsText" text="FAIL">
      <formula>NOT(ISERROR(SEARCH("FAIL",D7)))</formula>
    </cfRule>
    <cfRule type="containsText" dxfId="49" priority="387" operator="containsText" text="PASS">
      <formula>NOT(ISERROR(SEARCH("PASS",D7)))</formula>
    </cfRule>
  </conditionalFormatting>
  <conditionalFormatting sqref="D8:D10">
    <cfRule type="containsText" dxfId="48" priority="381" operator="containsText" text="FAIL">
      <formula>NOT(ISERROR(SEARCH("FAIL",D8)))</formula>
    </cfRule>
    <cfRule type="containsText" dxfId="47" priority="382" operator="containsText" text="PASS">
      <formula>NOT(ISERROR(SEARCH("PASS",D8)))</formula>
    </cfRule>
  </conditionalFormatting>
  <conditionalFormatting sqref="D11:D15">
    <cfRule type="containsText" dxfId="46" priority="376" operator="containsText" text="FAIL">
      <formula>NOT(ISERROR(SEARCH("FAIL",D11)))</formula>
    </cfRule>
    <cfRule type="containsText" dxfId="45" priority="377" operator="containsText" text="PASS">
      <formula>NOT(ISERROR(SEARCH("PASS",D11)))</formula>
    </cfRule>
  </conditionalFormatting>
  <conditionalFormatting sqref="D16">
    <cfRule type="containsText" dxfId="44" priority="371" operator="containsText" text="FAIL">
      <formula>NOT(ISERROR(SEARCH("FAIL",D16)))</formula>
    </cfRule>
    <cfRule type="containsText" dxfId="43" priority="372" operator="containsText" text="PASS">
      <formula>NOT(ISERROR(SEARCH("PASS",D16)))</formula>
    </cfRule>
  </conditionalFormatting>
  <conditionalFormatting sqref="D17">
    <cfRule type="containsText" dxfId="42" priority="351" operator="containsText" text="FAIL">
      <formula>NOT(ISERROR(SEARCH("FAIL",D17)))</formula>
    </cfRule>
    <cfRule type="containsText" dxfId="41" priority="352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17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Oral Assignment 1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75</v>
      </c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20</v>
      </c>
      <c r="J6" s="79"/>
      <c r="K6" s="80">
        <f t="shared" ref="K6" si="0">SUM(L6:U6)</f>
        <v>20</v>
      </c>
      <c r="L6" s="81">
        <v>10</v>
      </c>
      <c r="M6" s="81">
        <v>5</v>
      </c>
      <c r="N6" s="81">
        <v>3</v>
      </c>
      <c r="O6" s="81">
        <v>2</v>
      </c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0" si="1">IF(K7/K$6-J7&gt;=0, K7/K$6-J7, 0)</f>
        <v>0.8</v>
      </c>
      <c r="I7" s="20">
        <f t="shared" ref="I7:I17" si="2">ERROR_CHECK_MARK(L7:U7,L$6:U$6,H7,K$6)</f>
        <v>16</v>
      </c>
      <c r="J7" s="28">
        <v>0</v>
      </c>
      <c r="K7" s="24">
        <f t="shared" ref="K7:K10" si="3">SUM(L7:U7)</f>
        <v>16</v>
      </c>
      <c r="L7" s="9">
        <v>6</v>
      </c>
      <c r="M7" s="9">
        <v>5</v>
      </c>
      <c r="N7" s="9">
        <v>3</v>
      </c>
      <c r="O7" s="9">
        <v>2</v>
      </c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4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0.95</v>
      </c>
      <c r="I8" s="20">
        <f t="shared" si="2"/>
        <v>19</v>
      </c>
      <c r="J8" s="28">
        <v>0</v>
      </c>
      <c r="K8" s="24">
        <f t="shared" si="3"/>
        <v>19</v>
      </c>
      <c r="L8" s="9">
        <v>10</v>
      </c>
      <c r="M8" s="9">
        <v>5</v>
      </c>
      <c r="N8" s="9">
        <v>3</v>
      </c>
      <c r="O8" s="9">
        <v>1</v>
      </c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4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0.45</v>
      </c>
      <c r="I9" s="20">
        <f t="shared" si="2"/>
        <v>9</v>
      </c>
      <c r="J9" s="28">
        <v>0</v>
      </c>
      <c r="K9" s="24">
        <f t="shared" si="3"/>
        <v>9</v>
      </c>
      <c r="L9" s="9">
        <v>8</v>
      </c>
      <c r="M9" s="9">
        <v>0</v>
      </c>
      <c r="N9" s="9">
        <v>0</v>
      </c>
      <c r="O9" s="9">
        <v>1</v>
      </c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4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0.55000000000000004</v>
      </c>
      <c r="I10" s="20">
        <f t="shared" si="2"/>
        <v>11</v>
      </c>
      <c r="J10" s="28">
        <v>0</v>
      </c>
      <c r="K10" s="24">
        <f t="shared" si="3"/>
        <v>11</v>
      </c>
      <c r="L10" s="9">
        <v>6</v>
      </c>
      <c r="M10" s="9">
        <v>3</v>
      </c>
      <c r="N10" s="9">
        <v>1</v>
      </c>
      <c r="O10" s="9">
        <v>1</v>
      </c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5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6">IF(K11/K$6-J11&gt;=0, K11/K$6-J11, 0)</f>
        <v>0.95</v>
      </c>
      <c r="I11" s="20">
        <f t="shared" si="2"/>
        <v>19</v>
      </c>
      <c r="J11" s="28">
        <v>0</v>
      </c>
      <c r="K11" s="24">
        <f t="shared" ref="K11:K15" si="7">SUM(L11:U11)</f>
        <v>19</v>
      </c>
      <c r="L11" s="9">
        <v>10</v>
      </c>
      <c r="M11" s="9">
        <v>5</v>
      </c>
      <c r="N11" s="9">
        <v>2</v>
      </c>
      <c r="O11" s="9">
        <v>2</v>
      </c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5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6"/>
        <v>0.55000000000000004</v>
      </c>
      <c r="I12" s="20">
        <f t="shared" si="2"/>
        <v>11</v>
      </c>
      <c r="J12" s="28">
        <v>0</v>
      </c>
      <c r="K12" s="24">
        <f t="shared" si="7"/>
        <v>11</v>
      </c>
      <c r="L12" s="9">
        <v>5</v>
      </c>
      <c r="M12" s="9">
        <v>2</v>
      </c>
      <c r="N12" s="9">
        <v>2</v>
      </c>
      <c r="O12" s="9">
        <v>2</v>
      </c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5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6"/>
        <v>0.6</v>
      </c>
      <c r="I13" s="20">
        <f t="shared" si="2"/>
        <v>12</v>
      </c>
      <c r="J13" s="28">
        <v>0</v>
      </c>
      <c r="K13" s="24">
        <f t="shared" si="7"/>
        <v>12</v>
      </c>
      <c r="L13" s="9">
        <v>6</v>
      </c>
      <c r="M13" s="9">
        <v>3</v>
      </c>
      <c r="N13" s="9">
        <v>2</v>
      </c>
      <c r="O13" s="9">
        <v>1</v>
      </c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5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6"/>
        <v>0.65</v>
      </c>
      <c r="I14" s="20">
        <f t="shared" si="2"/>
        <v>13</v>
      </c>
      <c r="J14" s="28">
        <v>0</v>
      </c>
      <c r="K14" s="24">
        <f t="shared" si="7"/>
        <v>13</v>
      </c>
      <c r="L14" s="9">
        <v>3</v>
      </c>
      <c r="M14" s="9">
        <v>5</v>
      </c>
      <c r="N14" s="9">
        <v>3</v>
      </c>
      <c r="O14" s="9">
        <v>2</v>
      </c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5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6"/>
        <v>0.65</v>
      </c>
      <c r="I15" s="20" t="str">
        <f t="shared" si="2"/>
        <v>MISSING MARK</v>
      </c>
      <c r="J15" s="28">
        <v>0</v>
      </c>
      <c r="K15" s="24">
        <f t="shared" si="7"/>
        <v>13</v>
      </c>
      <c r="L15" s="9">
        <v>7</v>
      </c>
      <c r="M15" s="9">
        <v>5</v>
      </c>
      <c r="N15" s="9"/>
      <c r="O15" s="9">
        <v>1</v>
      </c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8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9">IF(K16/K$6-J16&gt;=0, K16/K$6-J16, 0)</f>
        <v>0.625</v>
      </c>
      <c r="I16" s="20">
        <f t="shared" si="2"/>
        <v>12.5</v>
      </c>
      <c r="J16" s="28">
        <v>0</v>
      </c>
      <c r="K16" s="24">
        <f t="shared" ref="K16" si="10">SUM(L16:U16)</f>
        <v>12.5</v>
      </c>
      <c r="L16" s="9">
        <v>6.5</v>
      </c>
      <c r="M16" s="9">
        <v>3</v>
      </c>
      <c r="N16" s="9">
        <v>1</v>
      </c>
      <c r="O16" s="9">
        <v>2</v>
      </c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1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2">IF(K17/K$6-J17&gt;=0, K17/K$6-J17, 0)</f>
        <v>1.05</v>
      </c>
      <c r="I17" s="20" t="str">
        <f t="shared" si="2"/>
        <v>INVALID MARK</v>
      </c>
      <c r="J17" s="28">
        <v>0</v>
      </c>
      <c r="K17" s="24">
        <f t="shared" ref="K17" si="13">SUM(L17:U17)</f>
        <v>21</v>
      </c>
      <c r="L17" s="9">
        <v>11</v>
      </c>
      <c r="M17" s="9"/>
      <c r="N17" s="9">
        <v>3</v>
      </c>
      <c r="O17" s="9">
        <v>1</v>
      </c>
      <c r="P17" s="9"/>
      <c r="Q17" s="9">
        <v>6</v>
      </c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</sheetData>
  <dataConsolidate/>
  <mergeCells count="1">
    <mergeCell ref="F4:G4"/>
  </mergeCells>
  <conditionalFormatting sqref="I7:I17">
    <cfRule type="containsText" dxfId="40" priority="388" operator="containsText" text="INVALID MARK">
      <formula>NOT(ISERROR(SEARCH("INVALID MARK",I7)))</formula>
    </cfRule>
    <cfRule type="containsText" dxfId="39" priority="389" operator="containsText" text="INVALID ENTRY">
      <formula>NOT(ISERROR(SEARCH("INVALID ENTRY",I7)))</formula>
    </cfRule>
    <cfRule type="containsText" dxfId="38" priority="390" operator="containsText" text="MISSING MARK">
      <formula>NOT(ISERROR(SEARCH("MISSING MARK",I7)))</formula>
    </cfRule>
  </conditionalFormatting>
  <conditionalFormatting sqref="D7">
    <cfRule type="containsText" dxfId="37" priority="386" operator="containsText" text="FAIL">
      <formula>NOT(ISERROR(SEARCH("FAIL",D7)))</formula>
    </cfRule>
    <cfRule type="containsText" dxfId="36" priority="387" operator="containsText" text="PASS">
      <formula>NOT(ISERROR(SEARCH("PASS",D7)))</formula>
    </cfRule>
  </conditionalFormatting>
  <conditionalFormatting sqref="D8:D10">
    <cfRule type="containsText" dxfId="35" priority="381" operator="containsText" text="FAIL">
      <formula>NOT(ISERROR(SEARCH("FAIL",D8)))</formula>
    </cfRule>
    <cfRule type="containsText" dxfId="34" priority="382" operator="containsText" text="PASS">
      <formula>NOT(ISERROR(SEARCH("PASS",D8)))</formula>
    </cfRule>
  </conditionalFormatting>
  <conditionalFormatting sqref="D11:D15">
    <cfRule type="containsText" dxfId="33" priority="376" operator="containsText" text="FAIL">
      <formula>NOT(ISERROR(SEARCH("FAIL",D11)))</formula>
    </cfRule>
    <cfRule type="containsText" dxfId="32" priority="377" operator="containsText" text="PASS">
      <formula>NOT(ISERROR(SEARCH("PASS",D11)))</formula>
    </cfRule>
  </conditionalFormatting>
  <conditionalFormatting sqref="D16">
    <cfRule type="containsText" dxfId="31" priority="371" operator="containsText" text="FAIL">
      <formula>NOT(ISERROR(SEARCH("FAIL",D16)))</formula>
    </cfRule>
    <cfRule type="containsText" dxfId="30" priority="372" operator="containsText" text="PASS">
      <formula>NOT(ISERROR(SEARCH("PASS",D16)))</formula>
    </cfRule>
  </conditionalFormatting>
  <conditionalFormatting sqref="D17">
    <cfRule type="containsText" dxfId="29" priority="351" operator="containsText" text="FAIL">
      <formula>NOT(ISERROR(SEARCH("FAIL",D17)))</formula>
    </cfRule>
    <cfRule type="containsText" dxfId="28" priority="352" operator="containsText" text="PASS">
      <formula>NOT(ISERROR(SEARCH("PASS",D17)))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A17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4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75</v>
      </c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50</v>
      </c>
      <c r="J6" s="79"/>
      <c r="K6" s="80">
        <f t="shared" ref="K6" si="0">SUM(L6:U6)</f>
        <v>50</v>
      </c>
      <c r="L6" s="81">
        <v>50</v>
      </c>
      <c r="M6" s="81"/>
      <c r="N6" s="81"/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0" si="1">IF(K7/K$6-J7&gt;=0, K7/K$6-J7, 0)</f>
        <v>0.66</v>
      </c>
      <c r="I7" s="20">
        <f t="shared" ref="I7:I17" si="2">ERROR_CHECK_MARK(L7:U7,L$6:U$6,H7,K$6)</f>
        <v>33</v>
      </c>
      <c r="J7" s="28">
        <v>0</v>
      </c>
      <c r="K7" s="24">
        <f t="shared" ref="K7:K10" si="3">SUM(L7:U7)</f>
        <v>33</v>
      </c>
      <c r="L7" s="9">
        <v>33</v>
      </c>
      <c r="M7" s="9"/>
      <c r="N7" s="9"/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4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0.92</v>
      </c>
      <c r="I8" s="20">
        <f t="shared" si="2"/>
        <v>46</v>
      </c>
      <c r="J8" s="28">
        <v>0</v>
      </c>
      <c r="K8" s="24">
        <f t="shared" si="3"/>
        <v>46</v>
      </c>
      <c r="L8" s="9">
        <v>46</v>
      </c>
      <c r="M8" s="9"/>
      <c r="N8" s="9"/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4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0.32</v>
      </c>
      <c r="I9" s="20">
        <f t="shared" si="2"/>
        <v>16</v>
      </c>
      <c r="J9" s="28">
        <v>0</v>
      </c>
      <c r="K9" s="24">
        <f t="shared" si="3"/>
        <v>16</v>
      </c>
      <c r="L9" s="9">
        <v>16</v>
      </c>
      <c r="M9" s="9"/>
      <c r="N9" s="9"/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4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0.6</v>
      </c>
      <c r="I10" s="20">
        <f t="shared" si="2"/>
        <v>30</v>
      </c>
      <c r="J10" s="28">
        <v>0</v>
      </c>
      <c r="K10" s="24">
        <f t="shared" si="3"/>
        <v>30</v>
      </c>
      <c r="L10" s="9">
        <v>30</v>
      </c>
      <c r="M10" s="9"/>
      <c r="N10" s="9"/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5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6">IF(K11/K$6-J11&gt;=0, K11/K$6-J11, 0)</f>
        <v>0.7</v>
      </c>
      <c r="I11" s="20">
        <f t="shared" si="2"/>
        <v>35</v>
      </c>
      <c r="J11" s="28">
        <v>0</v>
      </c>
      <c r="K11" s="24">
        <f t="shared" ref="K11:K15" si="7">SUM(L11:U11)</f>
        <v>35</v>
      </c>
      <c r="L11" s="9">
        <v>35</v>
      </c>
      <c r="M11" s="9"/>
      <c r="N11" s="9"/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5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6"/>
        <v>0.34</v>
      </c>
      <c r="I12" s="20">
        <f t="shared" si="2"/>
        <v>17</v>
      </c>
      <c r="J12" s="28">
        <v>0</v>
      </c>
      <c r="K12" s="24">
        <f t="shared" si="7"/>
        <v>17</v>
      </c>
      <c r="L12" s="9">
        <v>17</v>
      </c>
      <c r="M12" s="9"/>
      <c r="N12" s="9"/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5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6"/>
        <v>0.94</v>
      </c>
      <c r="I13" s="20">
        <f t="shared" si="2"/>
        <v>47</v>
      </c>
      <c r="J13" s="28">
        <v>0</v>
      </c>
      <c r="K13" s="24">
        <f t="shared" si="7"/>
        <v>47</v>
      </c>
      <c r="L13" s="9">
        <v>47</v>
      </c>
      <c r="M13" s="9"/>
      <c r="N13" s="9"/>
      <c r="O13" s="9"/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5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6"/>
        <v>0.62</v>
      </c>
      <c r="I14" s="20">
        <f t="shared" si="2"/>
        <v>31</v>
      </c>
      <c r="J14" s="28">
        <v>0.1</v>
      </c>
      <c r="K14" s="24">
        <f t="shared" si="7"/>
        <v>36</v>
      </c>
      <c r="L14" s="9">
        <v>36</v>
      </c>
      <c r="M14" s="9"/>
      <c r="N14" s="9"/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5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6"/>
        <v>0.9</v>
      </c>
      <c r="I15" s="20">
        <f t="shared" si="2"/>
        <v>45</v>
      </c>
      <c r="J15" s="28">
        <v>0</v>
      </c>
      <c r="K15" s="24">
        <f t="shared" si="7"/>
        <v>45</v>
      </c>
      <c r="L15" s="9">
        <v>45</v>
      </c>
      <c r="M15" s="9"/>
      <c r="N15" s="9"/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8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9">IF(K16/K$6-J16&gt;=0, K16/K$6-J16, 0)</f>
        <v>0.72</v>
      </c>
      <c r="I16" s="20">
        <f t="shared" si="2"/>
        <v>36</v>
      </c>
      <c r="J16" s="28">
        <v>0</v>
      </c>
      <c r="K16" s="24">
        <f t="shared" ref="K16" si="10">SUM(L16:U16)</f>
        <v>36</v>
      </c>
      <c r="L16" s="9">
        <v>36</v>
      </c>
      <c r="M16" s="9"/>
      <c r="N16" s="9"/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1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2">IF(K17/K$6-J17&gt;=0, K17/K$6-J17, 0)</f>
        <v>0.78</v>
      </c>
      <c r="I17" s="20">
        <f t="shared" si="2"/>
        <v>39</v>
      </c>
      <c r="J17" s="28">
        <v>0</v>
      </c>
      <c r="K17" s="24">
        <f t="shared" ref="K17" si="13">SUM(L17:U17)</f>
        <v>39</v>
      </c>
      <c r="L17" s="9">
        <v>39</v>
      </c>
      <c r="M17" s="9"/>
      <c r="N17" s="9"/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</sheetData>
  <mergeCells count="1">
    <mergeCell ref="F4:G4"/>
  </mergeCells>
  <conditionalFormatting sqref="I7:I17">
    <cfRule type="containsText" dxfId="27" priority="388" operator="containsText" text="INVALID MARK">
      <formula>NOT(ISERROR(SEARCH("INVALID MARK",I7)))</formula>
    </cfRule>
    <cfRule type="containsText" dxfId="26" priority="389" operator="containsText" text="INVALID ENTRY">
      <formula>NOT(ISERROR(SEARCH("INVALID ENTRY",I7)))</formula>
    </cfRule>
    <cfRule type="containsText" dxfId="25" priority="390" operator="containsText" text="MISSING MARK">
      <formula>NOT(ISERROR(SEARCH("MISSING MARK",I7)))</formula>
    </cfRule>
  </conditionalFormatting>
  <conditionalFormatting sqref="D7">
    <cfRule type="containsText" dxfId="24" priority="386" operator="containsText" text="FAIL">
      <formula>NOT(ISERROR(SEARCH("FAIL",D7)))</formula>
    </cfRule>
    <cfRule type="containsText" dxfId="23" priority="387" operator="containsText" text="PASS">
      <formula>NOT(ISERROR(SEARCH("PASS",D7)))</formula>
    </cfRule>
  </conditionalFormatting>
  <conditionalFormatting sqref="D8:D10">
    <cfRule type="containsText" dxfId="22" priority="381" operator="containsText" text="FAIL">
      <formula>NOT(ISERROR(SEARCH("FAIL",D8)))</formula>
    </cfRule>
    <cfRule type="containsText" dxfId="21" priority="382" operator="containsText" text="PASS">
      <formula>NOT(ISERROR(SEARCH("PASS",D8)))</formula>
    </cfRule>
  </conditionalFormatting>
  <conditionalFormatting sqref="D11:D15">
    <cfRule type="containsText" dxfId="20" priority="376" operator="containsText" text="FAIL">
      <formula>NOT(ISERROR(SEARCH("FAIL",D11)))</formula>
    </cfRule>
    <cfRule type="containsText" dxfId="19" priority="377" operator="containsText" text="PASS">
      <formula>NOT(ISERROR(SEARCH("PASS",D11)))</formula>
    </cfRule>
  </conditionalFormatting>
  <conditionalFormatting sqref="D16">
    <cfRule type="containsText" dxfId="18" priority="371" operator="containsText" text="FAIL">
      <formula>NOT(ISERROR(SEARCH("FAIL",D16)))</formula>
    </cfRule>
    <cfRule type="containsText" dxfId="17" priority="372" operator="containsText" text="PASS">
      <formula>NOT(ISERROR(SEARCH("PASS",D16)))</formula>
    </cfRule>
  </conditionalFormatting>
  <conditionalFormatting sqref="D17">
    <cfRule type="containsText" dxfId="16" priority="351" operator="containsText" text="FAIL">
      <formula>NOT(ISERROR(SEARCH("FAIL",D17)))</formula>
    </cfRule>
    <cfRule type="containsText" dxfId="15" priority="352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C1:DQ17"/>
  <sheetViews>
    <sheetView workbookViewId="0"/>
  </sheetViews>
  <sheetFormatPr defaultRowHeight="15" x14ac:dyDescent="0.25"/>
  <cols>
    <col min="1" max="2" width="9.140625" style="5"/>
    <col min="3" max="3" width="11" style="5" bestFit="1" customWidth="1"/>
    <col min="4" max="4" width="6.85546875" style="5" bestFit="1" customWidth="1"/>
    <col min="5" max="5" width="16.42578125" style="5" bestFit="1" customWidth="1"/>
    <col min="6" max="6" width="18.85546875" style="5" bestFit="1" customWidth="1"/>
    <col min="7" max="8" width="15.85546875" style="5" bestFit="1" customWidth="1"/>
    <col min="9" max="9" width="14.42578125" style="4" bestFit="1" customWidth="1"/>
    <col min="10" max="10" width="11" style="19" bestFit="1" customWidth="1"/>
    <col min="11" max="11" width="29.140625" style="8" bestFit="1" customWidth="1"/>
    <col min="12" max="12" width="18.85546875" style="17" customWidth="1"/>
    <col min="13" max="14" width="18.85546875" style="9" customWidth="1"/>
    <col min="15" max="21" width="18.85546875" customWidth="1"/>
    <col min="22" max="22" width="16.42578125" style="5" bestFit="1" customWidth="1"/>
    <col min="23" max="23" width="13.85546875" style="5" bestFit="1" customWidth="1"/>
    <col min="24" max="25" width="15.85546875" style="5" bestFit="1" customWidth="1"/>
    <col min="26" max="26" width="10.28515625" style="5" bestFit="1" customWidth="1"/>
    <col min="27" max="28" width="9.42578125" style="5" bestFit="1" customWidth="1"/>
    <col min="29" max="35" width="9" style="5" bestFit="1" customWidth="1"/>
    <col min="36" max="36" width="10" style="5" bestFit="1" customWidth="1"/>
    <col min="37" max="37" width="11" style="5" bestFit="1" customWidth="1"/>
    <col min="38" max="16384" width="9.140625" style="5"/>
  </cols>
  <sheetData>
    <row r="1" spans="3:121" x14ac:dyDescent="0.25">
      <c r="O1" s="9"/>
      <c r="P1" s="9"/>
      <c r="Q1" s="9"/>
      <c r="R1" s="9"/>
      <c r="S1" s="9"/>
      <c r="T1" s="9"/>
      <c r="U1" s="9"/>
    </row>
    <row r="2" spans="3:121" x14ac:dyDescent="0.25">
      <c r="O2" s="9"/>
      <c r="P2" s="9"/>
      <c r="Q2" s="9"/>
      <c r="R2" s="9"/>
      <c r="S2" s="9"/>
      <c r="T2" s="9"/>
      <c r="U2" s="9"/>
    </row>
    <row r="3" spans="3:121" ht="15.75" thickBot="1" x14ac:dyDescent="0.3">
      <c r="C3" s="7" t="s">
        <v>6</v>
      </c>
      <c r="D3" s="3" t="str">
        <f ca="1">MID(CELL("filename",A1),FIND("]",CELL("filename",A1))+1,255)</f>
        <v>Exam</v>
      </c>
      <c r="F3" s="7" t="s">
        <v>43</v>
      </c>
      <c r="G3" s="4">
        <f>'Front page - Marks Overview'!D12</f>
        <v>0.5</v>
      </c>
      <c r="H3" s="4"/>
      <c r="I3" s="19"/>
      <c r="J3" s="8"/>
      <c r="K3" s="17"/>
      <c r="L3" s="9"/>
      <c r="O3" s="9"/>
      <c r="P3" s="9"/>
      <c r="Q3" s="9"/>
      <c r="R3" s="9"/>
      <c r="S3" s="9"/>
      <c r="T3" s="9"/>
      <c r="U3" s="9"/>
    </row>
    <row r="4" spans="3:121" ht="123.75" customHeight="1" thickBot="1" x14ac:dyDescent="0.3">
      <c r="C4" s="21"/>
      <c r="F4" s="125"/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Y4" s="4"/>
      <c r="Z4" s="17"/>
      <c r="AA4" s="9"/>
      <c r="AB4" s="9"/>
      <c r="AC4" s="9"/>
      <c r="AD4" s="9"/>
      <c r="AE4" s="9"/>
      <c r="AF4" s="9"/>
      <c r="AG4" s="9"/>
      <c r="AH4" s="9"/>
      <c r="AI4" s="9"/>
      <c r="AJ4" s="9"/>
      <c r="AK4" s="8"/>
      <c r="AO4" s="7"/>
      <c r="AP4" s="3"/>
      <c r="AT4" s="4"/>
      <c r="AU4" s="17"/>
      <c r="AV4" s="9"/>
      <c r="AW4" s="9"/>
      <c r="AX4" s="9"/>
      <c r="AY4" s="9"/>
      <c r="AZ4" s="9"/>
      <c r="BA4" s="9"/>
      <c r="BB4" s="9"/>
      <c r="BC4" s="9"/>
      <c r="BD4" s="9"/>
      <c r="BE4" s="9"/>
      <c r="BF4" s="8"/>
      <c r="BJ4" s="7"/>
      <c r="BK4" s="3"/>
      <c r="BO4" s="4"/>
      <c r="BP4" s="17"/>
      <c r="BQ4" s="9"/>
      <c r="BR4" s="9"/>
      <c r="BS4" s="9"/>
      <c r="BT4" s="9"/>
      <c r="BU4" s="9"/>
      <c r="BV4" s="9"/>
      <c r="BW4" s="9"/>
      <c r="BX4" s="9"/>
      <c r="BY4" s="9"/>
      <c r="BZ4" s="9"/>
      <c r="CA4" s="8"/>
      <c r="CE4" s="7"/>
      <c r="CF4" s="3"/>
      <c r="CJ4" s="4"/>
      <c r="CK4" s="17"/>
      <c r="CL4" s="9"/>
      <c r="CM4" s="9"/>
      <c r="CN4" s="9"/>
      <c r="CO4" s="9"/>
      <c r="CP4" s="9"/>
      <c r="CQ4" s="9"/>
      <c r="CR4" s="9"/>
      <c r="CS4" s="9"/>
      <c r="CT4" s="9"/>
      <c r="CU4" s="9"/>
      <c r="CV4" s="8"/>
      <c r="CZ4" s="7"/>
      <c r="DA4" s="3"/>
      <c r="DE4" s="4"/>
      <c r="DF4" s="17"/>
      <c r="DG4" s="9"/>
      <c r="DH4" s="9"/>
      <c r="DI4" s="9"/>
      <c r="DJ4" s="9"/>
      <c r="DK4" s="9"/>
      <c r="DL4" s="9"/>
      <c r="DM4" s="9"/>
      <c r="DN4" s="9"/>
      <c r="DO4" s="9"/>
      <c r="DP4" s="9"/>
      <c r="DQ4" s="8"/>
    </row>
    <row r="5" spans="3:121" s="7" customFormat="1" ht="15.75" thickBot="1" x14ac:dyDescent="0.3">
      <c r="D5" s="1"/>
      <c r="E5" s="63" t="str">
        <f>'Front page - Marks Overview'!$D$25</f>
        <v>Student Surname</v>
      </c>
      <c r="F5" s="64" t="str">
        <f>'Front page - Marks Overview'!$E$25</f>
        <v>Student Name</v>
      </c>
      <c r="G5" s="64" t="str">
        <f>'Front page - Marks Overview'!$F$25</f>
        <v>Student Number</v>
      </c>
      <c r="H5" s="82" t="s">
        <v>8</v>
      </c>
      <c r="I5" s="83" t="s">
        <v>0</v>
      </c>
      <c r="J5" s="84" t="s">
        <v>7</v>
      </c>
      <c r="K5" s="83" t="s">
        <v>10</v>
      </c>
      <c r="L5" s="87" t="s">
        <v>55</v>
      </c>
      <c r="M5" s="87" t="s">
        <v>56</v>
      </c>
      <c r="N5" s="87" t="s">
        <v>57</v>
      </c>
      <c r="O5" s="87" t="s">
        <v>58</v>
      </c>
      <c r="P5" s="87" t="s">
        <v>59</v>
      </c>
      <c r="Q5" s="87" t="s">
        <v>60</v>
      </c>
      <c r="R5" s="87" t="s">
        <v>61</v>
      </c>
      <c r="S5" s="87" t="s">
        <v>62</v>
      </c>
      <c r="T5" s="87" t="s">
        <v>63</v>
      </c>
      <c r="U5" s="87" t="s">
        <v>64</v>
      </c>
      <c r="Y5" s="6"/>
      <c r="Z5" s="12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0"/>
      <c r="AT5" s="6"/>
      <c r="AU5" s="12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0"/>
      <c r="BO5" s="6"/>
      <c r="BP5" s="12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0"/>
      <c r="CJ5" s="6"/>
      <c r="CK5" s="12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0"/>
      <c r="DE5" s="6"/>
      <c r="DF5" s="12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0"/>
    </row>
    <row r="6" spans="3:121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100</v>
      </c>
      <c r="J6" s="79"/>
      <c r="K6" s="80">
        <f>SUM(L6:U6)</f>
        <v>100</v>
      </c>
      <c r="L6" s="81">
        <v>100</v>
      </c>
      <c r="M6" s="81"/>
      <c r="N6" s="81"/>
      <c r="O6" s="81"/>
      <c r="P6" s="81"/>
      <c r="Q6" s="81"/>
      <c r="R6" s="81"/>
      <c r="S6" s="81"/>
      <c r="T6" s="81"/>
      <c r="U6" s="81"/>
      <c r="V6" s="34"/>
      <c r="Y6" s="16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P6" s="13"/>
      <c r="AT6" s="16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K6" s="13"/>
      <c r="BO6" s="16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F6" s="13"/>
      <c r="CJ6" s="16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DA6" s="13"/>
      <c r="DE6" s="16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</row>
    <row r="7" spans="3:121" x14ac:dyDescent="0.25"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1" si="0">IF(K7/K$6-J7&gt;=0, K7/K$6-J7, 0)</f>
        <v>0.72499999999999998</v>
      </c>
      <c r="I7" s="20">
        <f t="shared" ref="I7:I17" si="1">ERROR_CHECK_MARK(L7:U7,L$6:U$6,H7,K$6)</f>
        <v>72.5</v>
      </c>
      <c r="J7" s="28">
        <v>0</v>
      </c>
      <c r="K7" s="24">
        <f>SUM(L7:U7)</f>
        <v>72.5</v>
      </c>
      <c r="L7" s="9">
        <v>72.5</v>
      </c>
      <c r="O7" s="9"/>
      <c r="P7" s="9"/>
      <c r="Q7" s="9"/>
      <c r="R7" s="9"/>
      <c r="S7" s="9"/>
      <c r="T7" s="9"/>
      <c r="U7" s="9"/>
      <c r="Y7" s="18"/>
      <c r="Z7" s="17"/>
      <c r="AA7" s="9"/>
      <c r="AB7" s="9"/>
      <c r="AC7" s="9"/>
      <c r="AD7" s="9"/>
      <c r="AE7" s="9"/>
      <c r="AF7" s="9"/>
      <c r="AG7" s="9"/>
      <c r="AH7" s="9"/>
      <c r="AI7" s="9"/>
      <c r="AJ7" s="9"/>
      <c r="AK7" s="8"/>
      <c r="AT7" s="18"/>
      <c r="AU7" s="17"/>
      <c r="AV7" s="9"/>
      <c r="AW7" s="9"/>
      <c r="AX7" s="9"/>
      <c r="AY7" s="9"/>
      <c r="AZ7" s="9"/>
      <c r="BA7" s="9"/>
      <c r="BB7" s="9"/>
      <c r="BC7" s="9"/>
      <c r="BD7" s="9"/>
      <c r="BE7" s="9"/>
      <c r="BF7" s="8"/>
      <c r="BO7" s="18"/>
      <c r="BP7" s="17"/>
      <c r="BQ7" s="9"/>
      <c r="BR7" s="9"/>
      <c r="BS7" s="9"/>
      <c r="BT7" s="9"/>
      <c r="BU7" s="9"/>
      <c r="BV7" s="9"/>
      <c r="BW7" s="9"/>
      <c r="BX7" s="9"/>
      <c r="BY7" s="9"/>
      <c r="BZ7" s="9"/>
      <c r="CA7" s="8"/>
      <c r="CJ7" s="18"/>
      <c r="CK7" s="17"/>
      <c r="CL7" s="9"/>
      <c r="CM7" s="9"/>
      <c r="CN7" s="9"/>
      <c r="CO7" s="9"/>
      <c r="CP7" s="9"/>
      <c r="CQ7" s="9"/>
      <c r="CR7" s="9"/>
      <c r="CS7" s="9"/>
      <c r="CT7" s="9"/>
      <c r="CU7" s="9"/>
      <c r="CV7" s="8"/>
      <c r="DE7" s="18"/>
      <c r="DF7" s="17"/>
      <c r="DG7" s="9"/>
      <c r="DH7" s="9"/>
      <c r="DI7" s="9"/>
      <c r="DJ7" s="9"/>
      <c r="DK7" s="9"/>
      <c r="DL7" s="9"/>
      <c r="DM7" s="9"/>
      <c r="DN7" s="9"/>
      <c r="DO7" s="9"/>
      <c r="DP7" s="9"/>
      <c r="DQ7" s="8"/>
    </row>
    <row r="8" spans="3:121" x14ac:dyDescent="0.25">
      <c r="D8" s="2" t="str">
        <f t="shared" ref="D8:D10" si="2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0"/>
        <v>0.87</v>
      </c>
      <c r="I8" s="20">
        <f t="shared" si="1"/>
        <v>87</v>
      </c>
      <c r="J8" s="28">
        <v>0</v>
      </c>
      <c r="K8" s="24">
        <f t="shared" ref="K8:K17" si="3">SUM(L8:U8)</f>
        <v>87</v>
      </c>
      <c r="L8" s="9">
        <v>87</v>
      </c>
      <c r="O8" s="9"/>
      <c r="P8" s="9"/>
      <c r="Q8" s="9"/>
      <c r="R8" s="9"/>
      <c r="S8" s="9"/>
      <c r="T8" s="9"/>
      <c r="U8" s="9"/>
      <c r="Y8" s="18"/>
      <c r="Z8" s="17"/>
      <c r="AA8" s="9"/>
      <c r="AB8" s="9"/>
      <c r="AC8" s="9"/>
      <c r="AD8" s="9"/>
      <c r="AE8" s="9"/>
      <c r="AF8" s="9"/>
      <c r="AG8" s="9"/>
      <c r="AH8" s="9"/>
      <c r="AI8" s="9"/>
      <c r="AJ8" s="9"/>
      <c r="AK8" s="8"/>
      <c r="AT8" s="18"/>
      <c r="AU8" s="17"/>
      <c r="AV8" s="9"/>
      <c r="AW8" s="9"/>
      <c r="AX8" s="9"/>
      <c r="AY8" s="9"/>
      <c r="AZ8" s="9"/>
      <c r="BA8" s="9"/>
      <c r="BB8" s="9"/>
      <c r="BC8" s="9"/>
      <c r="BD8" s="9"/>
      <c r="BE8" s="9"/>
      <c r="BF8" s="8"/>
      <c r="BO8" s="18"/>
      <c r="BP8" s="17"/>
      <c r="BQ8" s="9"/>
      <c r="BR8" s="9"/>
      <c r="BS8" s="9"/>
      <c r="BT8" s="9"/>
      <c r="BU8" s="9"/>
      <c r="BV8" s="9"/>
      <c r="BW8" s="9"/>
      <c r="BX8" s="9"/>
      <c r="BY8" s="9"/>
      <c r="BZ8" s="9"/>
      <c r="CA8" s="8"/>
      <c r="CJ8" s="18"/>
      <c r="CK8" s="17"/>
      <c r="CL8" s="9"/>
      <c r="CM8" s="9"/>
      <c r="CN8" s="9"/>
      <c r="CO8" s="9"/>
      <c r="CP8" s="9"/>
      <c r="CQ8" s="9"/>
      <c r="CR8" s="9"/>
      <c r="CS8" s="9"/>
      <c r="CT8" s="9"/>
      <c r="CU8" s="9"/>
      <c r="CV8" s="8"/>
      <c r="DE8" s="18"/>
      <c r="DF8" s="17"/>
      <c r="DG8" s="9"/>
      <c r="DH8" s="9"/>
      <c r="DI8" s="9"/>
      <c r="DJ8" s="9"/>
      <c r="DK8" s="9"/>
      <c r="DL8" s="9"/>
      <c r="DM8" s="9"/>
      <c r="DN8" s="9"/>
      <c r="DO8" s="9"/>
      <c r="DP8" s="9"/>
      <c r="DQ8" s="8"/>
    </row>
    <row r="9" spans="3:121" x14ac:dyDescent="0.25">
      <c r="D9" s="2" t="str">
        <f t="shared" si="2"/>
        <v>FAIL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0"/>
        <v>0.45</v>
      </c>
      <c r="I9" s="20">
        <f t="shared" si="1"/>
        <v>45</v>
      </c>
      <c r="J9" s="28">
        <v>0</v>
      </c>
      <c r="K9" s="24">
        <f t="shared" si="3"/>
        <v>45</v>
      </c>
      <c r="L9" s="9">
        <v>45</v>
      </c>
      <c r="O9" s="9"/>
      <c r="P9" s="9"/>
      <c r="Q9" s="9"/>
      <c r="R9" s="9"/>
      <c r="S9" s="9"/>
      <c r="T9" s="9"/>
      <c r="U9" s="9"/>
      <c r="Y9" s="18"/>
      <c r="Z9" s="17"/>
      <c r="AA9" s="9"/>
      <c r="AB9" s="9"/>
      <c r="AC9" s="9"/>
      <c r="AD9" s="9"/>
      <c r="AE9" s="9"/>
      <c r="AF9" s="9"/>
      <c r="AG9" s="9"/>
      <c r="AH9" s="9"/>
      <c r="AI9" s="9"/>
      <c r="AJ9" s="9"/>
      <c r="AK9" s="8"/>
      <c r="AT9" s="18"/>
      <c r="AU9" s="17"/>
      <c r="AV9" s="9"/>
      <c r="AW9" s="9"/>
      <c r="AX9" s="9"/>
      <c r="AY9" s="9"/>
      <c r="AZ9" s="9"/>
      <c r="BA9" s="9"/>
      <c r="BB9" s="9"/>
      <c r="BC9" s="9"/>
      <c r="BD9" s="9"/>
      <c r="BE9" s="9"/>
      <c r="BF9" s="8"/>
      <c r="BO9" s="18"/>
      <c r="BP9" s="17"/>
      <c r="BQ9" s="9"/>
      <c r="BR9" s="9"/>
      <c r="BS9" s="9"/>
      <c r="BT9" s="9"/>
      <c r="BU9" s="9"/>
      <c r="BV9" s="9"/>
      <c r="BW9" s="9"/>
      <c r="BX9" s="9"/>
      <c r="BY9" s="9"/>
      <c r="BZ9" s="9"/>
      <c r="CA9" s="8"/>
      <c r="CJ9" s="18"/>
      <c r="CK9" s="17"/>
      <c r="CL9" s="9"/>
      <c r="CM9" s="9"/>
      <c r="CN9" s="9"/>
      <c r="CO9" s="9"/>
      <c r="CP9" s="9"/>
      <c r="CQ9" s="9"/>
      <c r="CR9" s="9"/>
      <c r="CS9" s="9"/>
      <c r="CT9" s="9"/>
      <c r="CU9" s="9"/>
      <c r="CV9" s="8"/>
      <c r="DE9" s="18"/>
      <c r="DF9" s="17"/>
      <c r="DG9" s="9"/>
      <c r="DH9" s="9"/>
      <c r="DI9" s="9"/>
      <c r="DJ9" s="9"/>
      <c r="DK9" s="9"/>
      <c r="DL9" s="9"/>
      <c r="DM9" s="9"/>
      <c r="DN9" s="9"/>
      <c r="DO9" s="9"/>
      <c r="DP9" s="9"/>
      <c r="DQ9" s="8"/>
    </row>
    <row r="10" spans="3:121" x14ac:dyDescent="0.25">
      <c r="D10" s="2" t="str">
        <f t="shared" si="2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0"/>
        <v>0.53</v>
      </c>
      <c r="I10" s="20">
        <f t="shared" si="1"/>
        <v>53</v>
      </c>
      <c r="J10" s="28">
        <v>0</v>
      </c>
      <c r="K10" s="24">
        <f t="shared" si="3"/>
        <v>53</v>
      </c>
      <c r="L10" s="9">
        <v>53</v>
      </c>
      <c r="O10" s="9"/>
      <c r="P10" s="9"/>
      <c r="Q10" s="9"/>
      <c r="R10" s="9"/>
      <c r="S10" s="9"/>
      <c r="T10" s="9"/>
      <c r="U10" s="9"/>
      <c r="Y10" s="18"/>
      <c r="Z10" s="17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8"/>
      <c r="AT10" s="18"/>
      <c r="AU10" s="17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8"/>
      <c r="BO10" s="18"/>
      <c r="BP10" s="17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8"/>
      <c r="CJ10" s="18"/>
      <c r="CK10" s="17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8"/>
      <c r="DE10" s="18"/>
      <c r="DF10" s="17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8"/>
    </row>
    <row r="11" spans="3:121" x14ac:dyDescent="0.25">
      <c r="D11" s="2" t="str">
        <f t="shared" ref="D11:D15" si="4">IF(H11&gt;G$3, "PASS", "FAIL")</f>
        <v>FAIL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si="0"/>
        <v>0.41</v>
      </c>
      <c r="I11" s="20">
        <f t="shared" si="1"/>
        <v>41</v>
      </c>
      <c r="J11" s="28">
        <v>0</v>
      </c>
      <c r="K11" s="24">
        <f t="shared" si="3"/>
        <v>41</v>
      </c>
      <c r="L11" s="9">
        <v>41</v>
      </c>
      <c r="O11" s="9"/>
      <c r="P11" s="9"/>
      <c r="Q11" s="9"/>
      <c r="R11" s="9"/>
      <c r="S11" s="9"/>
      <c r="T11" s="9"/>
      <c r="U11" s="9"/>
      <c r="Y11" s="18"/>
      <c r="Z11" s="17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8"/>
      <c r="AT11" s="18"/>
      <c r="AU11" s="17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8"/>
      <c r="BO11" s="18"/>
      <c r="BP11" s="17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8"/>
      <c r="CJ11" s="18"/>
      <c r="CK11" s="17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8"/>
      <c r="DE11" s="18"/>
      <c r="DF11" s="17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8"/>
    </row>
    <row r="12" spans="3:121" x14ac:dyDescent="0.25">
      <c r="D12" s="2" t="str">
        <f t="shared" si="4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>IF(K12/K$6-J12&gt;=0, K12/K$6-J12, 0)</f>
        <v>0.65</v>
      </c>
      <c r="I12" s="20">
        <f t="shared" si="1"/>
        <v>65</v>
      </c>
      <c r="J12" s="28">
        <v>0</v>
      </c>
      <c r="K12" s="24">
        <f t="shared" si="3"/>
        <v>65</v>
      </c>
      <c r="L12" s="9">
        <v>65</v>
      </c>
      <c r="O12" s="9"/>
      <c r="P12" s="9"/>
      <c r="Q12" s="9"/>
      <c r="R12" s="9"/>
      <c r="S12" s="9"/>
      <c r="T12" s="9"/>
      <c r="U12" s="9"/>
      <c r="Y12" s="18"/>
      <c r="Z12" s="17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8"/>
      <c r="AT12" s="18"/>
      <c r="AU12" s="17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8"/>
      <c r="BO12" s="18"/>
      <c r="BP12" s="17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8"/>
      <c r="CJ12" s="18"/>
      <c r="CK12" s="17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8"/>
      <c r="DE12" s="18"/>
      <c r="DF12" s="17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8"/>
    </row>
    <row r="13" spans="3:121" x14ac:dyDescent="0.25">
      <c r="D13" s="2" t="str">
        <f t="shared" si="4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ref="H13:H16" si="5">IF(K13/K$6-J13&gt;=0, K13/K$6-J13, 0)</f>
        <v>0.57999999999999996</v>
      </c>
      <c r="I13" s="20">
        <f t="shared" si="1"/>
        <v>57.999999999999993</v>
      </c>
      <c r="J13" s="28">
        <v>0</v>
      </c>
      <c r="K13" s="24">
        <f t="shared" si="3"/>
        <v>58</v>
      </c>
      <c r="L13" s="9">
        <v>58</v>
      </c>
      <c r="O13" s="9"/>
      <c r="P13" s="9"/>
      <c r="Q13" s="9"/>
      <c r="R13" s="9"/>
      <c r="S13" s="9"/>
      <c r="T13" s="9"/>
      <c r="U13" s="9"/>
      <c r="Y13" s="18"/>
      <c r="Z13" s="17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8"/>
      <c r="AT13" s="18"/>
      <c r="AU13" s="17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8"/>
      <c r="BO13" s="18"/>
      <c r="BP13" s="17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8"/>
      <c r="CJ13" s="18"/>
      <c r="CK13" s="17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8"/>
      <c r="DE13" s="18"/>
      <c r="DF13" s="17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8"/>
    </row>
    <row r="14" spans="3:121" x14ac:dyDescent="0.25">
      <c r="D14" s="2" t="str">
        <f t="shared" si="4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5"/>
        <v>0.69</v>
      </c>
      <c r="I14" s="20">
        <f t="shared" si="1"/>
        <v>69</v>
      </c>
      <c r="J14" s="28">
        <v>0</v>
      </c>
      <c r="K14" s="24">
        <f t="shared" si="3"/>
        <v>69</v>
      </c>
      <c r="L14" s="9">
        <v>69</v>
      </c>
      <c r="O14" s="9"/>
      <c r="P14" s="9"/>
      <c r="Q14" s="9"/>
      <c r="R14" s="9"/>
      <c r="S14" s="9"/>
      <c r="T14" s="9"/>
      <c r="U14" s="9"/>
      <c r="Y14" s="18"/>
      <c r="Z14" s="17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8"/>
      <c r="AT14" s="18"/>
      <c r="AU14" s="17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8"/>
      <c r="BO14" s="18"/>
      <c r="BP14" s="17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8"/>
      <c r="CJ14" s="18"/>
      <c r="CK14" s="17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8"/>
      <c r="DE14" s="18"/>
      <c r="DF14" s="17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8"/>
    </row>
    <row r="15" spans="3:121" x14ac:dyDescent="0.25">
      <c r="D15" s="2" t="str">
        <f t="shared" si="4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5"/>
        <v>0.80500000000000005</v>
      </c>
      <c r="I15" s="20">
        <f t="shared" si="1"/>
        <v>80.5</v>
      </c>
      <c r="J15" s="28">
        <v>0</v>
      </c>
      <c r="K15" s="24">
        <f t="shared" si="3"/>
        <v>80.5</v>
      </c>
      <c r="L15" s="9">
        <v>80.5</v>
      </c>
      <c r="O15" s="9"/>
      <c r="P15" s="9"/>
      <c r="Q15" s="9"/>
      <c r="R15" s="9"/>
      <c r="S15" s="9"/>
      <c r="T15" s="9"/>
      <c r="U15" s="9"/>
      <c r="Y15" s="18"/>
      <c r="Z15" s="1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8"/>
      <c r="AT15" s="18"/>
      <c r="AU15" s="17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8"/>
      <c r="BO15" s="18"/>
      <c r="BP15" s="17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8"/>
      <c r="CJ15" s="18"/>
      <c r="CK15" s="17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8"/>
      <c r="DE15" s="18"/>
      <c r="DF15" s="17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8"/>
    </row>
    <row r="16" spans="3:121" x14ac:dyDescent="0.25">
      <c r="D16" s="2" t="str">
        <f t="shared" ref="D16" si="6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si="5"/>
        <v>0.77</v>
      </c>
      <c r="I16" s="20">
        <f t="shared" si="1"/>
        <v>77</v>
      </c>
      <c r="J16" s="28">
        <v>0</v>
      </c>
      <c r="K16" s="24">
        <f t="shared" si="3"/>
        <v>77</v>
      </c>
      <c r="L16" s="9">
        <v>77</v>
      </c>
      <c r="O16" s="9"/>
      <c r="P16" s="9"/>
      <c r="Q16" s="9"/>
      <c r="R16" s="9"/>
      <c r="S16" s="9"/>
      <c r="T16" s="9"/>
      <c r="U16" s="9"/>
      <c r="Y16" s="18"/>
      <c r="Z16" s="17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8"/>
      <c r="AT16" s="18"/>
      <c r="AU16" s="17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8"/>
      <c r="BO16" s="18"/>
      <c r="BP16" s="17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8"/>
      <c r="CJ16" s="18"/>
      <c r="CK16" s="17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8"/>
      <c r="DE16" s="18"/>
      <c r="DF16" s="17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8"/>
    </row>
    <row r="17" spans="4:121" x14ac:dyDescent="0.25">
      <c r="D17" s="2" t="str">
        <f t="shared" ref="D17" si="7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8">IF(K17/K$6-J17&gt;=0, K17/K$6-J17, 0)</f>
        <v>0.69</v>
      </c>
      <c r="I17" s="20">
        <f t="shared" si="1"/>
        <v>69</v>
      </c>
      <c r="J17" s="28">
        <v>0</v>
      </c>
      <c r="K17" s="24">
        <f t="shared" si="3"/>
        <v>69</v>
      </c>
      <c r="L17" s="9">
        <v>69</v>
      </c>
      <c r="O17" s="9"/>
      <c r="P17" s="9"/>
      <c r="Q17" s="9"/>
      <c r="R17" s="9"/>
      <c r="S17" s="9"/>
      <c r="T17" s="9"/>
      <c r="U17" s="9"/>
      <c r="Y17" s="18"/>
      <c r="Z17" s="17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8"/>
      <c r="AT17" s="18"/>
      <c r="AU17" s="17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8"/>
      <c r="BO17" s="18"/>
      <c r="BP17" s="17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8"/>
      <c r="CJ17" s="18"/>
      <c r="CK17" s="17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8"/>
      <c r="DE17" s="18"/>
      <c r="DF17" s="17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8"/>
    </row>
  </sheetData>
  <mergeCells count="1">
    <mergeCell ref="F4:G4"/>
  </mergeCells>
  <conditionalFormatting sqref="I7:I17">
    <cfRule type="containsText" dxfId="14" priority="696" operator="containsText" text="INVALID MARK">
      <formula>NOT(ISERROR(SEARCH("INVALID MARK",I7)))</formula>
    </cfRule>
    <cfRule type="containsText" dxfId="13" priority="697" operator="containsText" text="INVALID ENTRY">
      <formula>NOT(ISERROR(SEARCH("INVALID ENTRY",I7)))</formula>
    </cfRule>
    <cfRule type="containsText" dxfId="12" priority="698" operator="containsText" text="MISSING MARK">
      <formula>NOT(ISERROR(SEARCH("MISSING MARK",I7)))</formula>
    </cfRule>
  </conditionalFormatting>
  <conditionalFormatting sqref="D7">
    <cfRule type="containsText" dxfId="11" priority="469" operator="containsText" text="FAIL">
      <formula>NOT(ISERROR(SEARCH("FAIL",D7)))</formula>
    </cfRule>
    <cfRule type="containsText" dxfId="10" priority="470" operator="containsText" text="PASS">
      <formula>NOT(ISERROR(SEARCH("PASS",D7)))</formula>
    </cfRule>
  </conditionalFormatting>
  <conditionalFormatting sqref="D8:D10">
    <cfRule type="containsText" dxfId="9" priority="451" operator="containsText" text="FAIL">
      <formula>NOT(ISERROR(SEARCH("FAIL",D8)))</formula>
    </cfRule>
    <cfRule type="containsText" dxfId="8" priority="452" operator="containsText" text="PASS">
      <formula>NOT(ISERROR(SEARCH("PASS",D8)))</formula>
    </cfRule>
  </conditionalFormatting>
  <conditionalFormatting sqref="H7:H16">
    <cfRule type="containsText" dxfId="7" priority="447" operator="containsText" text="INVALID MARK">
      <formula>NOT(ISERROR(SEARCH("INVALID MARK",H7)))</formula>
    </cfRule>
  </conditionalFormatting>
  <conditionalFormatting sqref="D11:D15">
    <cfRule type="containsText" dxfId="6" priority="445" operator="containsText" text="FAIL">
      <formula>NOT(ISERROR(SEARCH("FAIL",D11)))</formula>
    </cfRule>
    <cfRule type="containsText" dxfId="5" priority="446" operator="containsText" text="PASS">
      <formula>NOT(ISERROR(SEARCH("PASS",D11)))</formula>
    </cfRule>
  </conditionalFormatting>
  <conditionalFormatting sqref="D16">
    <cfRule type="containsText" dxfId="4" priority="439" operator="containsText" text="FAIL">
      <formula>NOT(ISERROR(SEARCH("FAIL",D16)))</formula>
    </cfRule>
    <cfRule type="containsText" dxfId="3" priority="440" operator="containsText" text="PASS">
      <formula>NOT(ISERROR(SEARCH("PASS",D16)))</formula>
    </cfRule>
  </conditionalFormatting>
  <conditionalFormatting sqref="H17">
    <cfRule type="containsText" dxfId="2" priority="420" operator="containsText" text="INVALID MARK">
      <formula>NOT(ISERROR(SEARCH("INVALID MARK",H17)))</formula>
    </cfRule>
  </conditionalFormatting>
  <conditionalFormatting sqref="D17">
    <cfRule type="containsText" dxfId="1" priority="415" operator="containsText" text="FAIL">
      <formula>NOT(ISERROR(SEARCH("FAIL",D17)))</formula>
    </cfRule>
    <cfRule type="containsText" dxfId="0" priority="416" operator="containsText" text="PASS">
      <formula>NOT(ISERROR(SEARCH("PASS",D17)))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Front page - Marks Overview</vt:lpstr>
      <vt:lpstr>Attendance sheet</vt:lpstr>
      <vt:lpstr>Test 1</vt:lpstr>
      <vt:lpstr>Test 2</vt:lpstr>
      <vt:lpstr>Oral Assignment 1</vt:lpstr>
      <vt:lpstr>Test 4</vt:lpstr>
      <vt:lpstr>Exam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2020-10-14T21:23:53Z</dcterms:modified>
</cp:coreProperties>
</file>