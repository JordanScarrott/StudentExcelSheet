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I15" i="56"/>
  <c r="I13" i="55"/>
  <c r="I14" i="54"/>
  <c r="M6" i="1" l="1"/>
  <c r="M4" i="1"/>
  <c r="M7" i="1"/>
  <c r="M13" i="1"/>
  <c r="M8" i="1"/>
  <c r="M9" i="1"/>
  <c r="M5" i="1"/>
  <c r="M10" i="1"/>
  <c r="M11" i="1"/>
  <c r="M12" i="1"/>
  <c r="K8" i="52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3" i="58"/>
  <c r="I10" i="58"/>
  <c r="I16" i="58"/>
  <c r="I15" i="58"/>
  <c r="I11" i="58"/>
  <c r="I9" i="58"/>
  <c r="I7" i="58"/>
  <c r="I14" i="58"/>
  <c r="I12" i="58"/>
  <c r="I8" i="58"/>
  <c r="I13" i="56"/>
  <c r="I9" i="56"/>
  <c r="I16" i="56"/>
  <c r="I14" i="56"/>
  <c r="I8" i="56"/>
  <c r="I11" i="56"/>
  <c r="I12" i="56"/>
  <c r="I10" i="56"/>
  <c r="I7" i="56"/>
  <c r="I15" i="55"/>
  <c r="I14" i="55"/>
  <c r="I8" i="55"/>
  <c r="I16" i="55"/>
  <c r="I10" i="55"/>
  <c r="I11" i="55"/>
  <c r="I7" i="55"/>
  <c r="I9" i="55"/>
  <c r="I12" i="55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I8" i="54"/>
  <c r="I10" i="54"/>
  <c r="I12" i="54"/>
  <c r="I9" i="54"/>
  <c r="I16" i="54"/>
  <c r="I13" i="54"/>
  <c r="I7" i="54"/>
  <c r="I15" i="54"/>
  <c r="I11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11" i="52"/>
  <c r="I15" i="52"/>
  <c r="I9" i="52"/>
  <c r="I12" i="52"/>
  <c r="I16" i="52"/>
  <c r="I7" i="52"/>
  <c r="I14" i="52"/>
  <c r="I13" i="52"/>
  <c r="I8" i="52"/>
  <c r="I10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3" i="1" l="1"/>
  <c r="M31" i="1"/>
  <c r="M32" i="1"/>
  <c r="M28" i="1"/>
  <c r="M30" i="1"/>
  <c r="M29" i="1"/>
  <c r="M34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7" i="1" l="1"/>
  <c r="O36" i="1"/>
  <c r="Q35" i="1"/>
  <c r="O37" i="1"/>
  <c r="P36" i="1"/>
  <c r="O35" i="1"/>
  <c r="Q37" i="1"/>
  <c r="Q36" i="1"/>
  <c r="N37" i="1"/>
  <c r="P35" i="1"/>
  <c r="N36" i="1"/>
  <c r="N35" i="1"/>
  <c r="I17" i="58"/>
  <c r="M35" i="1" l="1"/>
  <c r="L35" i="1" s="1"/>
  <c r="M36" i="1"/>
  <c r="L36" i="1" s="1"/>
  <c r="M37" i="1"/>
  <c r="L37" i="1" s="1"/>
  <c r="Q38" i="1"/>
  <c r="I17" i="56"/>
  <c r="P38" i="1"/>
  <c r="I17" i="55"/>
  <c r="O38" i="1"/>
  <c r="K37" i="1"/>
  <c r="I17" i="54"/>
  <c r="J37" i="1" l="1"/>
  <c r="G37" i="1" s="1"/>
  <c r="N38" i="1"/>
  <c r="M38" i="1" s="1"/>
  <c r="L38" i="1" s="1"/>
  <c r="H37" i="1" l="1"/>
  <c r="K36" i="1"/>
  <c r="I17" i="52"/>
  <c r="J36" i="1" l="1"/>
  <c r="G36" i="1" s="1"/>
  <c r="K38" i="1"/>
  <c r="H36" i="1" l="1"/>
  <c r="J38" i="1"/>
  <c r="G38" i="1" s="1"/>
  <c r="K35" i="1"/>
  <c r="H38" i="1" l="1"/>
  <c r="J35" i="1"/>
  <c r="M19" i="1" l="1"/>
  <c r="M18" i="1"/>
  <c r="M17" i="1"/>
  <c r="G35" i="1"/>
  <c r="M16" i="1" s="1"/>
  <c r="H35" i="1"/>
  <c r="M14" i="1" l="1"/>
  <c r="M15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<sst xmlns="http://schemas.openxmlformats.org/spreadsheetml/2006/main" count="201" uniqueCount="105">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</sst>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4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topLeftCell="A7" zoomScaleNormal="100" workbookViewId="0">
      <selection activeCell="D8" sqref="D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67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104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>COUNTIF(I$28:I$38, "="&amp;L6)</f>
        <v>1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>COUNTIF(I$28:I$38, "="&amp;L8)</f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22" t="s">
        <v>68</v>
      </c>
      <c r="G10" s="123"/>
      <c r="H10" s="123"/>
      <c r="I10" s="124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13" x14ac:dyDescent="0.25">
      <c r="C11" s="42" t="s">
        <v>46</v>
      </c>
      <c r="D11" s="43">
        <v>0.4</v>
      </c>
      <c r="F11" s="113" t="s">
        <v>69</v>
      </c>
      <c r="G11" s="114"/>
      <c r="H11" s="114"/>
      <c r="I11" s="115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13" t="s">
        <v>71</v>
      </c>
      <c r="G12" s="114"/>
      <c r="H12" s="114"/>
      <c r="I12" s="115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10" t="s">
        <v>70</v>
      </c>
      <c r="G13" s="111"/>
      <c r="H13" s="111"/>
      <c r="I13" s="112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7" x14ac:dyDescent="0.25">
      <c r="J17" s="35"/>
      <c r="K17" s="108" t="s">
        <v>40</v>
      </c>
      <c r="L17" s="109"/>
      <c r="M17" s="61">
        <f>MAX(J28:J38)-MIN(J28:J38)</f>
        <v>0.49799999999999989</v>
      </c>
    </row>
    <row r="18" spans="1:17" x14ac:dyDescent="0.25">
      <c r="J18" s="35"/>
      <c r="K18" s="108" t="s">
        <v>41</v>
      </c>
      <c r="L18" s="109"/>
      <c r="M18" s="61">
        <f>AVERAGE(J28:J38)</f>
        <v>0.61180165289256194</v>
      </c>
    </row>
    <row r="19" spans="1:17" ht="15.75" thickBot="1" x14ac:dyDescent="0.3">
      <c r="J19" s="35"/>
      <c r="K19" s="104" t="s">
        <v>42</v>
      </c>
      <c r="L19" s="105"/>
      <c r="M19" s="62">
        <f>STDEV(J28:J38)</f>
        <v>0.13296972760671752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1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2">IF(AND(K28&gt;=D$13, J28&gt;=D$11), IF(OR(K28&lt;D$12, J28&lt;D$10), "WRITE SUPP", "NO SUPP"), "NO SUPP")</f>
        <v>NO SUPP</v>
      </c>
      <c r="H28" s="74" t="str">
        <f t="shared" ref="H28:H38" si="3">IF(K28&gt;=D$12, IF(J28&gt;=D$10, "PASS", "FAIL"), "FAIL")</f>
        <v>PASS</v>
      </c>
      <c r="I28" s="74" t="str">
        <f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 t="shared" si="1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2"/>
        <v>NO SUPP</v>
      </c>
      <c r="H29" s="74" t="str">
        <f t="shared" si="3"/>
        <v>PASS</v>
      </c>
      <c r="I29" s="74" t="str">
        <f>STUDENT_GRADE(J29,K$4:K$13,L$4:L$13)</f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 t="shared" si="1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2"/>
        <v>NO SUPP</v>
      </c>
      <c r="H30" s="74" t="str">
        <f t="shared" si="3"/>
        <v>FAIL</v>
      </c>
      <c r="I30" s="74" t="str">
        <f>STUDENT_GRADE(J30,K$4:K$13,L$4:L$13)</f>
        <v>F</v>
      </c>
      <c r="J30" s="89">
        <f t="shared" si="4"/>
        <v>0.38727272727272732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0.34545454545454546</v>
      </c>
      <c r="M30" s="74">
        <f t="shared" si="1"/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2"/>
        <v>NO SUPP</v>
      </c>
      <c r="H31" s="74" t="str">
        <f t="shared" si="3"/>
        <v>PASS</v>
      </c>
      <c r="I31" s="74" t="str">
        <f>STUDENT_GRADE(J31,K$4:K$13,L$4:L$13)</f>
        <v>C</v>
      </c>
      <c r="J31" s="89">
        <f t="shared" si="4"/>
        <v>0.53927272727272724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0.54545454545454541</v>
      </c>
      <c r="M31" s="74">
        <f t="shared" si="1"/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3"/>
        <v>FAIL</v>
      </c>
      <c r="I32" s="74" t="str">
        <f>STUDENT_GRADE(J32,K$4:K$13,L$4:L$13)</f>
        <v>C+</v>
      </c>
      <c r="J32" s="89">
        <f t="shared" si="4"/>
        <v>0.5730909090909091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0.68181818181818177</v>
      </c>
      <c r="M32" s="74">
        <f t="shared" si="1"/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2"/>
        <v>WRITE SUPP</v>
      </c>
      <c r="H33" s="74" t="str">
        <f t="shared" si="3"/>
        <v>FAIL</v>
      </c>
      <c r="I33" s="74" t="str">
        <f>STUDENT_GRADE(J33,K$4:K$13,L$4:L$13)</f>
        <v>C-</v>
      </c>
      <c r="J33" s="89">
        <f t="shared" si="4"/>
        <v>0.47272727272727277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0.35454545454545455</v>
      </c>
      <c r="M33" s="74">
        <f t="shared" si="1"/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2"/>
        <v>NO SUPP</v>
      </c>
      <c r="H34" s="74" t="str">
        <f t="shared" si="3"/>
        <v>PASS</v>
      </c>
      <c r="I34" s="74" t="str">
        <f>STUDENT_GRADE(J34,K$4:K$13,L$4:L$13)</f>
        <v>C+</v>
      </c>
      <c r="J34" s="89">
        <f t="shared" si="4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0.59090909090909094</v>
      </c>
      <c r="M34" s="74">
        <f t="shared" si="1"/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2"/>
        <v>NO SUPP</v>
      </c>
      <c r="H35" s="74" t="str">
        <f t="shared" si="3"/>
        <v>PASS</v>
      </c>
      <c r="I35" s="74" t="str">
        <f>STUDENT_GRADE(J35,K$4:K$13,L$4:L$13)</f>
        <v>C+</v>
      </c>
      <c r="J35" s="89">
        <f t="shared" si="4"/>
        <v>0.57327272727272727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0.49545454545454548</v>
      </c>
      <c r="M35" s="74">
        <f t="shared" si="1"/>
        <v>54.5</v>
      </c>
      <c r="N35" s="75" t="str">
        <f>'Test 1'!I14</f>
        <v>INVALID MARK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2"/>
        <v>NO SUPP</v>
      </c>
      <c r="H36" s="74" t="str">
        <f t="shared" si="3"/>
        <v>PASS</v>
      </c>
      <c r="I36" s="74" t="str">
        <f>STUDENT_GRADE(J36,K$4:K$13,L$4:L$13)</f>
        <v>B</v>
      </c>
      <c r="J36" s="89">
        <f t="shared" si="4"/>
        <v>0.67654545454545456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0.59090909090909094</v>
      </c>
      <c r="M36" s="74">
        <f t="shared" si="1"/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2"/>
        <v>NO SUPP</v>
      </c>
      <c r="H37" s="74" t="str">
        <f t="shared" si="3"/>
        <v>PASS</v>
      </c>
      <c r="I37" s="74" t="str">
        <f>STUDENT_GRADE(J37,K$4:K$13,L$4:L$13)</f>
        <v>B+</v>
      </c>
      <c r="J37" s="89">
        <f t="shared" si="4"/>
        <v>0.72527272727272729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0.69545454545454544</v>
      </c>
      <c r="M37" s="74">
        <f t="shared" si="1"/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2"/>
        <v>NO SUPP</v>
      </c>
      <c r="H38" s="74" t="str">
        <f t="shared" si="3"/>
        <v>PASS</v>
      </c>
      <c r="I38" s="74" t="str">
        <f>STUDENT_GRADE(J38,K$4:K$13,L$4:L$13)</f>
        <v>B-</v>
      </c>
      <c r="J38" s="89">
        <f t="shared" si="4"/>
        <v>0.61963636363636354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0.57272727272727275</v>
      </c>
      <c r="M38" s="74">
        <f t="shared" si="1"/>
        <v>63</v>
      </c>
      <c r="N38" s="75">
        <f>'Test 1'!I17</f>
        <v>7</v>
      </c>
      <c r="O38" s="75">
        <f>'Test 2'!I17</f>
        <v>16.999999999999996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ellIs" dxfId="153" priority="1365" operator="equal">
      <formula>$L$11</formula>
    </cfRule>
    <cfRule type="cellIs" dxfId="152" priority="1367" operator="equal">
      <formula>$L$9</formula>
    </cfRule>
    <cfRule type="cellIs" dxfId="151" priority="5527" operator="equal">
      <formula>$L$8</formula>
    </cfRule>
    <cfRule type="cellIs" dxfId="150" priority="5529" operator="equal">
      <formula>$L$6</formula>
    </cfRule>
    <cfRule type="cellIs" dxfId="149" priority="5530" operator="equal">
      <formula>$L$5</formula>
    </cfRule>
    <cfRule type="cellIs" dxfId="148" priority="5777" operator="equal">
      <formula>$L$4</formula>
    </cfRule>
  </conditionalFormatting>
  <conditionalFormatting sqref="G28">
    <cfRule type="containsText" dxfId="147" priority="5776" operator="containsText" text="WRITE SUPP">
      <formula>NOT(ISERROR(SEARCH("WRITE SUPP",G28)))</formula>
    </cfRule>
  </conditionalFormatting>
  <conditionalFormatting sqref="K28:K38">
    <cfRule type="containsText" dxfId="146" priority="2195" operator="containsText" text="MISSING MARK">
      <formula>NOT(ISERROR(SEARCH("MISSING MARK",K28)))</formula>
    </cfRule>
    <cfRule type="containsText" dxfId="145" priority="5772" operator="containsText" text="INVALID MARK">
      <formula>NOT(ISERROR(SEARCH("INVALID MARK",K28)))</formula>
    </cfRule>
    <cfRule type="cellIs" dxfId="144" priority="5779" operator="lessThan">
      <formula>$D$12</formula>
    </cfRule>
    <cfRule type="cellIs" priority="5780" operator="greaterThanOrEqual">
      <formula>$D$12</formula>
    </cfRule>
    <cfRule type="expression" dxfId="143" priority="5781">
      <formula>"&gt;=$D$10"</formula>
    </cfRule>
  </conditionalFormatting>
  <conditionalFormatting sqref="N28">
    <cfRule type="containsText" dxfId="142" priority="5773" operator="containsText" text="INVALID MARK">
      <formula>NOT(ISERROR(SEARCH("INVALID MARK",N28)))</formula>
    </cfRule>
    <cfRule type="containsText" dxfId="141" priority="5774" operator="containsText" text="INVALID ENTRY">
      <formula>NOT(ISERROR(SEARCH("INVALID ENTRY",N28)))</formula>
    </cfRule>
    <cfRule type="containsText" dxfId="140" priority="5775" operator="containsText" text="MISSING MARK">
      <formula>NOT(ISERROR(SEARCH("MISSING MARK",N28)))</formula>
    </cfRule>
  </conditionalFormatting>
  <conditionalFormatting sqref="H28">
    <cfRule type="containsText" dxfId="139" priority="5771" operator="containsText" text="FAIL">
      <formula>NOT(ISERROR(SEARCH("FAIL",H28)))</formula>
    </cfRule>
  </conditionalFormatting>
  <conditionalFormatting sqref="I28:I38">
    <cfRule type="cellIs" dxfId="138" priority="1363" operator="equal">
      <formula>$L$13</formula>
    </cfRule>
    <cfRule type="cellIs" dxfId="137" priority="1364" operator="equal">
      <formula>$L$12</formula>
    </cfRule>
    <cfRule type="cellIs" dxfId="136" priority="1366" operator="equal">
      <formula>$L$10</formula>
    </cfRule>
    <cfRule type="cellIs" dxfId="135" priority="5528" operator="equal">
      <formula>$L$7</formula>
    </cfRule>
  </conditionalFormatting>
  <conditionalFormatting sqref="G29:G31">
    <cfRule type="containsText" dxfId="134" priority="2335" operator="containsText" text="WRITE SUPP">
      <formula>NOT(ISERROR(SEARCH("WRITE SUPP",G29)))</formula>
    </cfRule>
  </conditionalFormatting>
  <conditionalFormatting sqref="J28:J37">
    <cfRule type="cellIs" dxfId="133" priority="2337" operator="lessThan">
      <formula>$D$10</formula>
    </cfRule>
  </conditionalFormatting>
  <conditionalFormatting sqref="N29:N31">
    <cfRule type="containsText" dxfId="132" priority="2332" operator="containsText" text="INVALID MARK">
      <formula>NOT(ISERROR(SEARCH("INVALID MARK",N29)))</formula>
    </cfRule>
    <cfRule type="containsText" dxfId="131" priority="2333" operator="containsText" text="INVALID ENTRY">
      <formula>NOT(ISERROR(SEARCH("INVALID ENTRY",N29)))</formula>
    </cfRule>
    <cfRule type="containsText" dxfId="130" priority="2334" operator="containsText" text="MISSING MARK">
      <formula>NOT(ISERROR(SEARCH("MISSING MARK",N29)))</formula>
    </cfRule>
  </conditionalFormatting>
  <conditionalFormatting sqref="H29:H31">
    <cfRule type="containsText" dxfId="129" priority="2330" operator="containsText" text="FAIL">
      <formula>NOT(ISERROR(SEARCH("FAIL",H29)))</formula>
    </cfRule>
  </conditionalFormatting>
  <conditionalFormatting sqref="O28">
    <cfRule type="containsText" dxfId="128" priority="2323" operator="containsText" text="INVALID MARK">
      <formula>NOT(ISERROR(SEARCH("INVALID MARK",O28)))</formula>
    </cfRule>
    <cfRule type="containsText" dxfId="127" priority="2324" operator="containsText" text="INVALID ENTRY">
      <formula>NOT(ISERROR(SEARCH("INVALID ENTRY",O28)))</formula>
    </cfRule>
    <cfRule type="containsText" dxfId="126" priority="2325" operator="containsText" text="MISSING MARK">
      <formula>NOT(ISERROR(SEARCH("MISSING MARK",O28)))</formula>
    </cfRule>
  </conditionalFormatting>
  <conditionalFormatting sqref="O29:O31">
    <cfRule type="containsText" dxfId="125" priority="2320" operator="containsText" text="INVALID MARK">
      <formula>NOT(ISERROR(SEARCH("INVALID MARK",O29)))</formula>
    </cfRule>
    <cfRule type="containsText" dxfId="124" priority="2321" operator="containsText" text="INVALID ENTRY">
      <formula>NOT(ISERROR(SEARCH("INVALID ENTRY",O29)))</formula>
    </cfRule>
    <cfRule type="containsText" dxfId="123" priority="2322" operator="containsText" text="MISSING MARK">
      <formula>NOT(ISERROR(SEARCH("MISSING MARK",O29)))</formula>
    </cfRule>
  </conditionalFormatting>
  <conditionalFormatting sqref="P28">
    <cfRule type="containsText" dxfId="122" priority="2317" operator="containsText" text="INVALID MARK">
      <formula>NOT(ISERROR(SEARCH("INVALID MARK",P28)))</formula>
    </cfRule>
    <cfRule type="containsText" dxfId="121" priority="2318" operator="containsText" text="INVALID ENTRY">
      <formula>NOT(ISERROR(SEARCH("INVALID ENTRY",P28)))</formula>
    </cfRule>
    <cfRule type="containsText" dxfId="120" priority="2319" operator="containsText" text="MISSING MARK">
      <formula>NOT(ISERROR(SEARCH("MISSING MARK",P28)))</formula>
    </cfRule>
  </conditionalFormatting>
  <conditionalFormatting sqref="P29:P31">
    <cfRule type="containsText" dxfId="119" priority="2314" operator="containsText" text="INVALID MARK">
      <formula>NOT(ISERROR(SEARCH("INVALID MARK",P29)))</formula>
    </cfRule>
    <cfRule type="containsText" dxfId="118" priority="2315" operator="containsText" text="INVALID ENTRY">
      <formula>NOT(ISERROR(SEARCH("INVALID ENTRY",P29)))</formula>
    </cfRule>
    <cfRule type="containsText" dxfId="117" priority="2316" operator="containsText" text="MISSING MARK">
      <formula>NOT(ISERROR(SEARCH("MISSING MARK",P29)))</formula>
    </cfRule>
  </conditionalFormatting>
  <conditionalFormatting sqref="Q28">
    <cfRule type="containsText" dxfId="116" priority="2305" operator="containsText" text="INVALID MARK">
      <formula>NOT(ISERROR(SEARCH("INVALID MARK",Q28)))</formula>
    </cfRule>
    <cfRule type="containsText" dxfId="115" priority="2306" operator="containsText" text="INVALID ENTRY">
      <formula>NOT(ISERROR(SEARCH("INVALID ENTRY",Q28)))</formula>
    </cfRule>
    <cfRule type="containsText" dxfId="114" priority="2307" operator="containsText" text="MISSING MARK">
      <formula>NOT(ISERROR(SEARCH("MISSING MARK",Q28)))</formula>
    </cfRule>
  </conditionalFormatting>
  <conditionalFormatting sqref="Q29:Q31">
    <cfRule type="containsText" dxfId="113" priority="2302" operator="containsText" text="INVALID MARK">
      <formula>NOT(ISERROR(SEARCH("INVALID MARK",Q29)))</formula>
    </cfRule>
    <cfRule type="containsText" dxfId="112" priority="2303" operator="containsText" text="INVALID ENTRY">
      <formula>NOT(ISERROR(SEARCH("INVALID ENTRY",Q29)))</formula>
    </cfRule>
    <cfRule type="containsText" dxfId="111" priority="2304" operator="containsText" text="MISSING MARK">
      <formula>NOT(ISERROR(SEARCH("MISSING MARK",Q29)))</formula>
    </cfRule>
  </conditionalFormatting>
  <conditionalFormatting sqref="G32:G36">
    <cfRule type="containsText" dxfId="110" priority="2296" operator="containsText" text="WRITE SUPP">
      <formula>NOT(ISERROR(SEARCH("WRITE SUPP",G32)))</formula>
    </cfRule>
  </conditionalFormatting>
  <conditionalFormatting sqref="N32:N36">
    <cfRule type="containsText" dxfId="109" priority="2293" operator="containsText" text="INVALID MARK">
      <formula>NOT(ISERROR(SEARCH("INVALID MARK",N32)))</formula>
    </cfRule>
    <cfRule type="containsText" dxfId="108" priority="2294" operator="containsText" text="INVALID ENTRY">
      <formula>NOT(ISERROR(SEARCH("INVALID ENTRY",N32)))</formula>
    </cfRule>
    <cfRule type="containsText" dxfId="107" priority="2295" operator="containsText" text="MISSING MARK">
      <formula>NOT(ISERROR(SEARCH("MISSING MARK",N32)))</formula>
    </cfRule>
  </conditionalFormatting>
  <conditionalFormatting sqref="H32:H36">
    <cfRule type="containsText" dxfId="106" priority="2291" operator="containsText" text="FAIL">
      <formula>NOT(ISERROR(SEARCH("FAIL",H32)))</formula>
    </cfRule>
  </conditionalFormatting>
  <conditionalFormatting sqref="O32:O36">
    <cfRule type="containsText" dxfId="105" priority="2284" operator="containsText" text="INVALID MARK">
      <formula>NOT(ISERROR(SEARCH("INVALID MARK",O32)))</formula>
    </cfRule>
    <cfRule type="containsText" dxfId="104" priority="2285" operator="containsText" text="INVALID ENTRY">
      <formula>NOT(ISERROR(SEARCH("INVALID ENTRY",O32)))</formula>
    </cfRule>
    <cfRule type="containsText" dxfId="103" priority="2286" operator="containsText" text="MISSING MARK">
      <formula>NOT(ISERROR(SEARCH("MISSING MARK",O32)))</formula>
    </cfRule>
  </conditionalFormatting>
  <conditionalFormatting sqref="P32:P36">
    <cfRule type="containsText" dxfId="102" priority="2281" operator="containsText" text="INVALID MARK">
      <formula>NOT(ISERROR(SEARCH("INVALID MARK",P32)))</formula>
    </cfRule>
    <cfRule type="containsText" dxfId="101" priority="2282" operator="containsText" text="INVALID ENTRY">
      <formula>NOT(ISERROR(SEARCH("INVALID ENTRY",P32)))</formula>
    </cfRule>
    <cfRule type="containsText" dxfId="100" priority="2283" operator="containsText" text="MISSING MARK">
      <formula>NOT(ISERROR(SEARCH("MISSING MARK",P32)))</formula>
    </cfRule>
  </conditionalFormatting>
  <conditionalFormatting sqref="Q32:Q36">
    <cfRule type="containsText" dxfId="99" priority="2278" operator="containsText" text="INVALID MARK">
      <formula>NOT(ISERROR(SEARCH("INVALID MARK",Q32)))</formula>
    </cfRule>
    <cfRule type="containsText" dxfId="98" priority="2279" operator="containsText" text="INVALID ENTRY">
      <formula>NOT(ISERROR(SEARCH("INVALID ENTRY",Q32)))</formula>
    </cfRule>
    <cfRule type="containsText" dxfId="97" priority="2280" operator="containsText" text="MISSING MARK">
      <formula>NOT(ISERROR(SEARCH("MISSING MARK",Q32)))</formula>
    </cfRule>
  </conditionalFormatting>
  <conditionalFormatting sqref="G37">
    <cfRule type="containsText" dxfId="96" priority="2263" operator="containsText" text="WRITE SUPP">
      <formula>NOT(ISERROR(SEARCH("WRITE SUPP",G37)))</formula>
    </cfRule>
  </conditionalFormatting>
  <conditionalFormatting sqref="N37">
    <cfRule type="containsText" dxfId="95" priority="2260" operator="containsText" text="INVALID MARK">
      <formula>NOT(ISERROR(SEARCH("INVALID MARK",N37)))</formula>
    </cfRule>
    <cfRule type="containsText" dxfId="94" priority="2261" operator="containsText" text="INVALID ENTRY">
      <formula>NOT(ISERROR(SEARCH("INVALID ENTRY",N37)))</formula>
    </cfRule>
    <cfRule type="containsText" dxfId="93" priority="2262" operator="containsText" text="MISSING MARK">
      <formula>NOT(ISERROR(SEARCH("MISSING MARK",N37)))</formula>
    </cfRule>
  </conditionalFormatting>
  <conditionalFormatting sqref="H37">
    <cfRule type="containsText" dxfId="92" priority="2258" operator="containsText" text="FAIL">
      <formula>NOT(ISERROR(SEARCH("FAIL",H37)))</formula>
    </cfRule>
  </conditionalFormatting>
  <conditionalFormatting sqref="O37">
    <cfRule type="containsText" dxfId="91" priority="2251" operator="containsText" text="INVALID MARK">
      <formula>NOT(ISERROR(SEARCH("INVALID MARK",O37)))</formula>
    </cfRule>
    <cfRule type="containsText" dxfId="90" priority="2252" operator="containsText" text="INVALID ENTRY">
      <formula>NOT(ISERROR(SEARCH("INVALID ENTRY",O37)))</formula>
    </cfRule>
    <cfRule type="containsText" dxfId="89" priority="2253" operator="containsText" text="MISSING MARK">
      <formula>NOT(ISERROR(SEARCH("MISSING MARK",O37)))</formula>
    </cfRule>
  </conditionalFormatting>
  <conditionalFormatting sqref="P37">
    <cfRule type="containsText" dxfId="88" priority="2248" operator="containsText" text="INVALID MARK">
      <formula>NOT(ISERROR(SEARCH("INVALID MARK",P37)))</formula>
    </cfRule>
    <cfRule type="containsText" dxfId="87" priority="2249" operator="containsText" text="INVALID ENTRY">
      <formula>NOT(ISERROR(SEARCH("INVALID ENTRY",P37)))</formula>
    </cfRule>
    <cfRule type="containsText" dxfId="86" priority="2250" operator="containsText" text="MISSING MARK">
      <formula>NOT(ISERROR(SEARCH("MISSING MARK",P37)))</formula>
    </cfRule>
  </conditionalFormatting>
  <conditionalFormatting sqref="Q37">
    <cfRule type="containsText" dxfId="85" priority="2245" operator="containsText" text="INVALID MARK">
      <formula>NOT(ISERROR(SEARCH("INVALID MARK",Q37)))</formula>
    </cfRule>
    <cfRule type="containsText" dxfId="84" priority="2246" operator="containsText" text="INVALID ENTRY">
      <formula>NOT(ISERROR(SEARCH("INVALID ENTRY",Q37)))</formula>
    </cfRule>
    <cfRule type="containsText" dxfId="83" priority="2247" operator="containsText" text="MISSING MARK">
      <formula>NOT(ISERROR(SEARCH("MISSING MARK",Q37)))</formula>
    </cfRule>
  </conditionalFormatting>
  <conditionalFormatting sqref="J38">
    <cfRule type="cellIs" dxfId="82" priority="2165" operator="lessThan">
      <formula>$D$10</formula>
    </cfRule>
  </conditionalFormatting>
  <conditionalFormatting sqref="G38">
    <cfRule type="containsText" dxfId="81" priority="2163" operator="containsText" text="WRITE SUPP">
      <formula>NOT(ISERROR(SEARCH("WRITE SUPP",G38)))</formula>
    </cfRule>
  </conditionalFormatting>
  <conditionalFormatting sqref="N38">
    <cfRule type="containsText" dxfId="80" priority="2160" operator="containsText" text="INVALID MARK">
      <formula>NOT(ISERROR(SEARCH("INVALID MARK",N38)))</formula>
    </cfRule>
    <cfRule type="containsText" dxfId="79" priority="2161" operator="containsText" text="INVALID ENTRY">
      <formula>NOT(ISERROR(SEARCH("INVALID ENTRY",N38)))</formula>
    </cfRule>
    <cfRule type="containsText" dxfId="78" priority="2162" operator="containsText" text="MISSING MARK">
      <formula>NOT(ISERROR(SEARCH("MISSING MARK",N38)))</formula>
    </cfRule>
  </conditionalFormatting>
  <conditionalFormatting sqref="H38">
    <cfRule type="containsText" dxfId="77" priority="2159" operator="containsText" text="FAIL">
      <formula>NOT(ISERROR(SEARCH("FAIL",H38)))</formula>
    </cfRule>
  </conditionalFormatting>
  <conditionalFormatting sqref="O38">
    <cfRule type="containsText" dxfId="76" priority="2152" operator="containsText" text="INVALID MARK">
      <formula>NOT(ISERROR(SEARCH("INVALID MARK",O38)))</formula>
    </cfRule>
    <cfRule type="containsText" dxfId="75" priority="2153" operator="containsText" text="INVALID ENTRY">
      <formula>NOT(ISERROR(SEARCH("INVALID ENTRY",O38)))</formula>
    </cfRule>
    <cfRule type="containsText" dxfId="74" priority="2154" operator="containsText" text="MISSING MARK">
      <formula>NOT(ISERROR(SEARCH("MISSING MARK",O38)))</formula>
    </cfRule>
  </conditionalFormatting>
  <conditionalFormatting sqref="P38">
    <cfRule type="containsText" dxfId="73" priority="2149" operator="containsText" text="INVALID MARK">
      <formula>NOT(ISERROR(SEARCH("INVALID MARK",P38)))</formula>
    </cfRule>
    <cfRule type="containsText" dxfId="72" priority="2150" operator="containsText" text="INVALID ENTRY">
      <formula>NOT(ISERROR(SEARCH("INVALID ENTRY",P38)))</formula>
    </cfRule>
    <cfRule type="containsText" dxfId="71" priority="2151" operator="containsText" text="MISSING MARK">
      <formula>NOT(ISERROR(SEARCH("MISSING MARK",P38)))</formula>
    </cfRule>
  </conditionalFormatting>
  <conditionalFormatting sqref="Q38">
    <cfRule type="containsText" dxfId="70" priority="2146" operator="containsText" text="INVALID MARK">
      <formula>NOT(ISERROR(SEARCH("INVALID MARK",Q38)))</formula>
    </cfRule>
    <cfRule type="containsText" dxfId="69" priority="2147" operator="containsText" text="INVALID ENTRY">
      <formula>NOT(ISERROR(SEARCH("INVALID ENTRY",Q38)))</formula>
    </cfRule>
    <cfRule type="containsText" dxfId="68" priority="2148" operator="containsText" text="MISSING MARK">
      <formula>NOT(ISERROR(SEARCH("MISSING MARK",Q38)))</formula>
    </cfRule>
  </conditionalFormatting>
  <conditionalFormatting sqref="K28:K38">
    <cfRule type="containsText" dxfId="67" priority="1014" operator="containsText" text="INVALID ENTRY">
      <formula>NOT(ISERROR(SEARCH("INVALID ENTRY",K28)))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7"/>
        <v>5.6</v>
      </c>
      <c r="I14" s="20" t="str">
        <f>IF(ISOVERMAX(L14:U14)=1,"INVALID MARK",IF(ISOVERMAX(L14:U14)=2,"INVALID ENTRY",IF(COUNT(L14:U14)&lt;COUNT(L$6:U$6),"MISSING MARK",(H14-J14)*K$6)))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441" operator="containsText" text="INVALID MARK">
      <formula>NOT(ISERROR(SEARCH("INVALID MARK",I7)))</formula>
    </cfRule>
    <cfRule type="containsText" dxfId="65" priority="442" operator="containsText" text="INVALID ENTRY">
      <formula>NOT(ISERROR(SEARCH("INVALID ENTRY",I7)))</formula>
    </cfRule>
    <cfRule type="containsText" dxfId="64" priority="443" operator="containsText" text="MISSING MARK">
      <formula>NOT(ISERROR(SEARCH("MISSING MARK",I7)))</formula>
    </cfRule>
  </conditionalFormatting>
  <conditionalFormatting sqref="D7">
    <cfRule type="containsText" dxfId="63" priority="271" operator="containsText" text="FAIL">
      <formula>NOT(ISERROR(SEARCH("FAIL",D7)))</formula>
    </cfRule>
    <cfRule type="containsText" dxfId="62" priority="272" operator="containsText" text="PASS">
      <formula>NOT(ISERROR(SEARCH("PASS",D7)))</formula>
    </cfRule>
  </conditionalFormatting>
  <conditionalFormatting sqref="D8:D10">
    <cfRule type="containsText" dxfId="61" priority="256" operator="containsText" text="FAIL">
      <formula>NOT(ISERROR(SEARCH("FAIL",D8)))</formula>
    </cfRule>
    <cfRule type="containsText" dxfId="60" priority="257" operator="containsText" text="PASS">
      <formula>NOT(ISERROR(SEARCH("PASS",D8)))</formula>
    </cfRule>
  </conditionalFormatting>
  <conditionalFormatting sqref="D11:D15">
    <cfRule type="containsText" dxfId="59" priority="251" operator="containsText" text="FAIL">
      <formula>NOT(ISERROR(SEARCH("FAIL",D11)))</formula>
    </cfRule>
    <cfRule type="containsText" dxfId="58" priority="252" operator="containsText" text="PASS">
      <formula>NOT(ISERROR(SEARCH("PASS",D11)))</formula>
    </cfRule>
  </conditionalFormatting>
  <conditionalFormatting sqref="D16">
    <cfRule type="containsText" dxfId="57" priority="246" operator="containsText" text="FAIL">
      <formula>NOT(ISERROR(SEARCH("FAIL",D16)))</formula>
    </cfRule>
    <cfRule type="containsText" dxfId="56" priority="247" operator="containsText" text="PASS">
      <formula>NOT(ISERROR(SEARCH("PASS",D16)))</formula>
    </cfRule>
  </conditionalFormatting>
  <conditionalFormatting sqref="D17">
    <cfRule type="containsText" dxfId="55" priority="226" operator="containsText" text="FAIL">
      <formula>NOT(ISERROR(SEARCH("FAIL",D17)))</formula>
    </cfRule>
    <cfRule type="containsText" dxfId="54" priority="22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7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0.3666666666666667</v>
      </c>
      <c r="I13" s="20" t="str">
        <f>IF(ISOVERMAX(L13:U13)=1,"INVALID MARK",IF(ISOVERMAX(L13:U13)=2,"INVALID ENTRY",IF(COUNT(L13:U13)&lt;COUNT(L$6:U$6),"MISSING MARK",(H13-J13)*K$6)))</f>
        <v>INVALID ENTRY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</sheetData>
  <mergeCells count="1">
    <mergeCell ref="F4:G4"/>
  </mergeCells>
  <conditionalFormatting sqref="I7:I17">
    <cfRule type="containsText" dxfId="53" priority="263" operator="containsText" text="INVALID MARK">
      <formula>NOT(ISERROR(SEARCH("INVALID MARK",I7)))</formula>
    </cfRule>
    <cfRule type="containsText" dxfId="52" priority="264" operator="containsText" text="INVALID ENTRY">
      <formula>NOT(ISERROR(SEARCH("INVALID ENTRY",I7)))</formula>
    </cfRule>
    <cfRule type="containsText" dxfId="51" priority="265" operator="containsText" text="MISSING MARK">
      <formula>NOT(ISERROR(SEARCH("MISSING MARK",I7)))</formula>
    </cfRule>
  </conditionalFormatting>
  <conditionalFormatting sqref="D7">
    <cfRule type="containsText" dxfId="50" priority="261" operator="containsText" text="FAIL">
      <formula>NOT(ISERROR(SEARCH("FAIL",D7)))</formula>
    </cfRule>
    <cfRule type="containsText" dxfId="49" priority="262" operator="containsText" text="PASS">
      <formula>NOT(ISERROR(SEARCH("PASS",D7)))</formula>
    </cfRule>
  </conditionalFormatting>
  <conditionalFormatting sqref="D8:D10">
    <cfRule type="containsText" dxfId="48" priority="256" operator="containsText" text="FAIL">
      <formula>NOT(ISERROR(SEARCH("FAIL",D8)))</formula>
    </cfRule>
    <cfRule type="containsText" dxfId="47" priority="257" operator="containsText" text="PASS">
      <formula>NOT(ISERROR(SEARCH("PASS",D8)))</formula>
    </cfRule>
  </conditionalFormatting>
  <conditionalFormatting sqref="D11:D15">
    <cfRule type="containsText" dxfId="46" priority="251" operator="containsText" text="FAIL">
      <formula>NOT(ISERROR(SEARCH("FAIL",D11)))</formula>
    </cfRule>
    <cfRule type="containsText" dxfId="45" priority="252" operator="containsText" text="PASS">
      <formula>NOT(ISERROR(SEARCH("PASS",D11)))</formula>
    </cfRule>
  </conditionalFormatting>
  <conditionalFormatting sqref="D16">
    <cfRule type="containsText" dxfId="44" priority="246" operator="containsText" text="FAIL">
      <formula>NOT(ISERROR(SEARCH("FAIL",D16)))</formula>
    </cfRule>
    <cfRule type="containsText" dxfId="43" priority="247" operator="containsText" text="PASS">
      <formula>NOT(ISERROR(SEARCH("PASS",D16)))</formula>
    </cfRule>
  </conditionalFormatting>
  <conditionalFormatting sqref="D17">
    <cfRule type="containsText" dxfId="42" priority="226" operator="containsText" text="FAIL">
      <formula>NOT(ISERROR(SEARCH("FAIL",D17)))</formula>
    </cfRule>
    <cfRule type="containsText" dxfId="41" priority="2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7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1.05</v>
      </c>
      <c r="I17" s="20" t="str">
        <f>IF(ISOVERMAX(L17:U17)=1,"INVALID MARK",IF(ISOVERMAX(L17:U17)=2,"INVALID ENTRY",IF(COUNT(L17:U17)&lt;COUNT(L$6:U$6),"MISSING MARK",(H17-J17)*K$6)))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</sheetData>
  <mergeCells count="1">
    <mergeCell ref="F4:G4"/>
  </mergeCells>
  <conditionalFormatting sqref="I7:I17">
    <cfRule type="containsText" dxfId="40" priority="263" operator="containsText" text="INVALID MARK">
      <formula>NOT(ISERROR(SEARCH("INVALID MARK",I7)))</formula>
    </cfRule>
    <cfRule type="containsText" dxfId="39" priority="264" operator="containsText" text="INVALID ENTRY">
      <formula>NOT(ISERROR(SEARCH("INVALID ENTRY",I7)))</formula>
    </cfRule>
    <cfRule type="containsText" dxfId="38" priority="265" operator="containsText" text="MISSING MARK">
      <formula>NOT(ISERROR(SEARCH("MISSING MARK",I7)))</formula>
    </cfRule>
  </conditionalFormatting>
  <conditionalFormatting sqref="D7">
    <cfRule type="containsText" dxfId="37" priority="261" operator="containsText" text="FAIL">
      <formula>NOT(ISERROR(SEARCH("FAIL",D7)))</formula>
    </cfRule>
    <cfRule type="containsText" dxfId="36" priority="262" operator="containsText" text="PASS">
      <formula>NOT(ISERROR(SEARCH("PASS",D7)))</formula>
    </cfRule>
  </conditionalFormatting>
  <conditionalFormatting sqref="D8:D10">
    <cfRule type="containsText" dxfId="35" priority="256" operator="containsText" text="FAIL">
      <formula>NOT(ISERROR(SEARCH("FAIL",D8)))</formula>
    </cfRule>
    <cfRule type="containsText" dxfId="34" priority="257" operator="containsText" text="PASS">
      <formula>NOT(ISERROR(SEARCH("PASS",D8)))</formula>
    </cfRule>
  </conditionalFormatting>
  <conditionalFormatting sqref="D11:D15">
    <cfRule type="containsText" dxfId="33" priority="251" operator="containsText" text="FAIL">
      <formula>NOT(ISERROR(SEARCH("FAIL",D11)))</formula>
    </cfRule>
    <cfRule type="containsText" dxfId="32" priority="252" operator="containsText" text="PASS">
      <formula>NOT(ISERROR(SEARCH("PASS",D11)))</formula>
    </cfRule>
  </conditionalFormatting>
  <conditionalFormatting sqref="D16">
    <cfRule type="containsText" dxfId="31" priority="246" operator="containsText" text="FAIL">
      <formula>NOT(ISERROR(SEARCH("FAIL",D16)))</formula>
    </cfRule>
    <cfRule type="containsText" dxfId="30" priority="247" operator="containsText" text="PASS">
      <formula>NOT(ISERROR(SEARCH("PASS",D16)))</formula>
    </cfRule>
  </conditionalFormatting>
  <conditionalFormatting sqref="D17">
    <cfRule type="containsText" dxfId="29" priority="226" operator="containsText" text="FAIL">
      <formula>NOT(ISERROR(SEARCH("FAIL",D17)))</formula>
    </cfRule>
    <cfRule type="containsText" dxfId="28" priority="2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7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</sheetData>
  <mergeCells count="1">
    <mergeCell ref="F4:G4"/>
  </mergeCells>
  <conditionalFormatting sqref="I7:I17">
    <cfRule type="containsText" dxfId="27" priority="263" operator="containsText" text="INVALID MARK">
      <formula>NOT(ISERROR(SEARCH("INVALID MARK",I7)))</formula>
    </cfRule>
    <cfRule type="containsText" dxfId="26" priority="264" operator="containsText" text="INVALID ENTRY">
      <formula>NOT(ISERROR(SEARCH("INVALID ENTRY",I7)))</formula>
    </cfRule>
    <cfRule type="containsText" dxfId="25" priority="265" operator="containsText" text="MISSING MARK">
      <formula>NOT(ISERROR(SEARCH("MISSING MARK",I7)))</formula>
    </cfRule>
  </conditionalFormatting>
  <conditionalFormatting sqref="D7">
    <cfRule type="containsText" dxfId="24" priority="261" operator="containsText" text="FAIL">
      <formula>NOT(ISERROR(SEARCH("FAIL",D7)))</formula>
    </cfRule>
    <cfRule type="containsText" dxfId="23" priority="262" operator="containsText" text="PASS">
      <formula>NOT(ISERROR(SEARCH("PASS",D7)))</formula>
    </cfRule>
  </conditionalFormatting>
  <conditionalFormatting sqref="D8:D10">
    <cfRule type="containsText" dxfId="22" priority="256" operator="containsText" text="FAIL">
      <formula>NOT(ISERROR(SEARCH("FAIL",D8)))</formula>
    </cfRule>
    <cfRule type="containsText" dxfId="21" priority="257" operator="containsText" text="PASS">
      <formula>NOT(ISERROR(SEARCH("PASS",D8)))</formula>
    </cfRule>
  </conditionalFormatting>
  <conditionalFormatting sqref="D11:D15">
    <cfRule type="containsText" dxfId="20" priority="251" operator="containsText" text="FAIL">
      <formula>NOT(ISERROR(SEARCH("FAIL",D11)))</formula>
    </cfRule>
    <cfRule type="containsText" dxfId="19" priority="252" operator="containsText" text="PASS">
      <formula>NOT(ISERROR(SEARCH("PASS",D11)))</formula>
    </cfRule>
  </conditionalFormatting>
  <conditionalFormatting sqref="D16">
    <cfRule type="containsText" dxfId="18" priority="246" operator="containsText" text="FAIL">
      <formula>NOT(ISERROR(SEARCH("FAIL",D16)))</formula>
    </cfRule>
    <cfRule type="containsText" dxfId="17" priority="247" operator="containsText" text="PASS">
      <formula>NOT(ISERROR(SEARCH("PASS",D16)))</formula>
    </cfRule>
  </conditionalFormatting>
  <conditionalFormatting sqref="D17">
    <cfRule type="containsText" dxfId="16" priority="226" operator="containsText" text="FAIL">
      <formula>NOT(ISERROR(SEARCH("FAIL",D17)))</formula>
    </cfRule>
    <cfRule type="containsText" dxfId="15" priority="2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C32" sqref="C32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546" operator="containsText" text="INVALID MARK">
      <formula>NOT(ISERROR(SEARCH("INVALID MARK",I7)))</formula>
    </cfRule>
    <cfRule type="containsText" dxfId="13" priority="547" operator="containsText" text="INVALID ENTRY">
      <formula>NOT(ISERROR(SEARCH("INVALID ENTRY",I7)))</formula>
    </cfRule>
    <cfRule type="containsText" dxfId="12" priority="548" operator="containsText" text="MISSING MARK">
      <formula>NOT(ISERROR(SEARCH("MISSING MARK",I7)))</formula>
    </cfRule>
  </conditionalFormatting>
  <conditionalFormatting sqref="D7">
    <cfRule type="containsText" dxfId="11" priority="319" operator="containsText" text="FAIL">
      <formula>NOT(ISERROR(SEARCH("FAIL",D7)))</formula>
    </cfRule>
    <cfRule type="containsText" dxfId="10" priority="320" operator="containsText" text="PASS">
      <formula>NOT(ISERROR(SEARCH("PASS",D7)))</formula>
    </cfRule>
  </conditionalFormatting>
  <conditionalFormatting sqref="D8:D10">
    <cfRule type="containsText" dxfId="9" priority="301" operator="containsText" text="FAIL">
      <formula>NOT(ISERROR(SEARCH("FAIL",D8)))</formula>
    </cfRule>
    <cfRule type="containsText" dxfId="8" priority="302" operator="containsText" text="PASS">
      <formula>NOT(ISERROR(SEARCH("PASS",D8)))</formula>
    </cfRule>
  </conditionalFormatting>
  <conditionalFormatting sqref="H7:H16">
    <cfRule type="containsText" dxfId="7" priority="297" operator="containsText" text="INVALID MARK">
      <formula>NOT(ISERROR(SEARCH("INVALID MARK",H7)))</formula>
    </cfRule>
  </conditionalFormatting>
  <conditionalFormatting sqref="D11:D15">
    <cfRule type="containsText" dxfId="6" priority="295" operator="containsText" text="FAIL">
      <formula>NOT(ISERROR(SEARCH("FAIL",D11)))</formula>
    </cfRule>
    <cfRule type="containsText" dxfId="5" priority="296" operator="containsText" text="PASS">
      <formula>NOT(ISERROR(SEARCH("PASS",D11)))</formula>
    </cfRule>
  </conditionalFormatting>
  <conditionalFormatting sqref="D16">
    <cfRule type="containsText" dxfId="4" priority="289" operator="containsText" text="FAIL">
      <formula>NOT(ISERROR(SEARCH("FAIL",D16)))</formula>
    </cfRule>
    <cfRule type="containsText" dxfId="3" priority="290" operator="containsText" text="PASS">
      <formula>NOT(ISERROR(SEARCH("PASS",D16)))</formula>
    </cfRule>
  </conditionalFormatting>
  <conditionalFormatting sqref="H17">
    <cfRule type="containsText" dxfId="2" priority="270" operator="containsText" text="INVALID MARK">
      <formula>NOT(ISERROR(SEARCH("INVALID MARK",H17)))</formula>
    </cfRule>
  </conditionalFormatting>
  <conditionalFormatting sqref="D17">
    <cfRule type="containsText" dxfId="1" priority="265" operator="containsText" text="FAIL">
      <formula>NOT(ISERROR(SEARCH("FAIL",D17)))</formula>
    </cfRule>
    <cfRule type="containsText" dxfId="0" priority="266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2020-10-09T08:22:03Z</dcterms:modified>
</cp:coreProperties>
</file>