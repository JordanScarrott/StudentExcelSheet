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M6" i="1" l="1"/>
  <c r="M4" i="1"/>
  <c r="M11" i="1"/>
  <c r="M13" i="1"/>
  <c r="M7" i="1"/>
  <c r="M8" i="1"/>
  <c r="M12" i="1"/>
  <c r="M9" i="1"/>
  <c r="M5" i="1"/>
  <c r="M10" i="1"/>
  <c r="K17" i="52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3" i="55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D14" i="58" s="1"/>
  <c r="H17" i="58"/>
  <c r="H15" i="56"/>
  <c r="D15" i="56" s="1"/>
  <c r="H17" i="56"/>
  <c r="D17" i="56" s="1"/>
  <c r="H15" i="58"/>
  <c r="H13" i="56"/>
  <c r="H16" i="56"/>
  <c r="H11" i="56"/>
  <c r="H13" i="55"/>
  <c r="D13" i="55" s="1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8"/>
  <c r="I12" i="58"/>
  <c r="I9" i="58"/>
  <c r="I11" i="58"/>
  <c r="I10" i="58"/>
  <c r="I8" i="58"/>
  <c r="I13" i="56"/>
  <c r="I8" i="56"/>
  <c r="I12" i="56"/>
  <c r="I9" i="56"/>
  <c r="I10" i="56"/>
  <c r="I11" i="56"/>
  <c r="I11" i="55"/>
  <c r="I8" i="55"/>
  <c r="I10" i="55"/>
  <c r="I12" i="55"/>
  <c r="I9" i="55"/>
  <c r="D17" i="55" l="1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D17" i="54" s="1"/>
  <c r="N26" i="1"/>
  <c r="O26" i="1"/>
  <c r="Q26" i="1"/>
  <c r="P26" i="1"/>
  <c r="H16" i="54"/>
  <c r="D16" i="54" s="1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12" i="54"/>
  <c r="I9" i="54"/>
  <c r="I13" i="54"/>
  <c r="I11" i="54"/>
  <c r="I8" i="54"/>
  <c r="I10" i="54"/>
  <c r="D15" i="54" l="1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D11" i="52" s="1"/>
  <c r="H13" i="52"/>
  <c r="H8" i="52"/>
  <c r="H10" i="52"/>
  <c r="H9" i="52"/>
  <c r="D9" i="52" s="1"/>
  <c r="H7" i="52"/>
  <c r="I6" i="52"/>
  <c r="G5" i="52"/>
  <c r="F5" i="52"/>
  <c r="E5" i="52"/>
  <c r="D3" i="52"/>
  <c r="I13" i="52"/>
  <c r="I8" i="52"/>
  <c r="I12" i="52"/>
  <c r="I11" i="52"/>
  <c r="I9" i="52"/>
  <c r="I10" i="52"/>
  <c r="D8" i="52" l="1"/>
  <c r="D17" i="52"/>
  <c r="D12" i="52"/>
  <c r="D7" i="52" l="1"/>
  <c r="D10" i="52" l="1"/>
  <c r="D14" i="52" l="1"/>
  <c r="D16" i="52"/>
  <c r="D13" i="52"/>
  <c r="D15" i="52"/>
  <c r="I7" i="52"/>
  <c r="I7" i="58"/>
  <c r="I7" i="56"/>
  <c r="I7" i="55"/>
  <c r="I7" i="54"/>
  <c r="K29" i="1" l="1"/>
  <c r="K30" i="1"/>
  <c r="K31" i="1"/>
  <c r="K32" i="1"/>
  <c r="K33" i="1"/>
  <c r="K34" i="1"/>
  <c r="K28" i="1"/>
  <c r="Q33" i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1" i="1" l="1"/>
  <c r="L31" i="1" s="1"/>
  <c r="J31" i="1" s="1"/>
  <c r="H31" i="1" s="1"/>
  <c r="M32" i="1"/>
  <c r="L32" i="1" s="1"/>
  <c r="J32" i="1" s="1"/>
  <c r="G32" i="1" s="1"/>
  <c r="M29" i="1"/>
  <c r="L29" i="1" s="1"/>
  <c r="J29" i="1" s="1"/>
  <c r="H29" i="1" s="1"/>
  <c r="M34" i="1"/>
  <c r="L34" i="1" s="1"/>
  <c r="J34" i="1" s="1"/>
  <c r="G34" i="1" s="1"/>
  <c r="M28" i="1"/>
  <c r="L28" i="1" s="1"/>
  <c r="J28" i="1" s="1"/>
  <c r="M30" i="1"/>
  <c r="L30" i="1" s="1"/>
  <c r="J30" i="1" s="1"/>
  <c r="G30" i="1" s="1"/>
  <c r="M33" i="1"/>
  <c r="L33" i="1" s="1"/>
  <c r="J33" i="1" s="1"/>
  <c r="H28" i="1" l="1"/>
  <c r="G28" i="1"/>
  <c r="H30" i="1"/>
  <c r="H33" i="1"/>
  <c r="G33" i="1"/>
  <c r="G29" i="1"/>
  <c r="G31" i="1"/>
  <c r="H34" i="1"/>
  <c r="H32" i="1"/>
  <c r="I16" i="58"/>
  <c r="Q37" i="1" l="1"/>
  <c r="I14" i="55"/>
  <c r="O35" i="1"/>
  <c r="I15" i="58"/>
  <c r="Q36" i="1"/>
  <c r="I17" i="56"/>
  <c r="P38" i="1"/>
  <c r="I16" i="56"/>
  <c r="P37" i="1"/>
  <c r="I17" i="58"/>
  <c r="Q38" i="1"/>
  <c r="I17" i="55"/>
  <c r="O38" i="1"/>
  <c r="I15" i="55"/>
  <c r="O36" i="1"/>
  <c r="I16" i="54"/>
  <c r="N37" i="1"/>
  <c r="I16" i="55"/>
  <c r="O37" i="1" l="1"/>
  <c r="I14" i="56"/>
  <c r="M37" i="1" l="1"/>
  <c r="L37" i="1" s="1"/>
  <c r="P35" i="1"/>
  <c r="I14" i="54"/>
  <c r="N35" i="1"/>
  <c r="I14" i="58"/>
  <c r="Q35" i="1" l="1"/>
  <c r="M35" i="1" s="1"/>
  <c r="I15" i="56"/>
  <c r="L35" i="1" l="1"/>
  <c r="P36" i="1"/>
  <c r="I17" i="54"/>
  <c r="N38" i="1"/>
  <c r="I16" i="52"/>
  <c r="M38" i="1" l="1"/>
  <c r="L38" i="1" s="1"/>
  <c r="K37" i="1"/>
  <c r="I15" i="54"/>
  <c r="J37" i="1" l="1"/>
  <c r="H37" i="1" s="1"/>
  <c r="N36" i="1"/>
  <c r="I17" i="52"/>
  <c r="M36" i="1" l="1"/>
  <c r="L36" i="1" s="1"/>
  <c r="G37" i="1"/>
  <c r="K38" i="1"/>
  <c r="I15" i="52"/>
  <c r="J38" i="1" l="1"/>
  <c r="H38" i="1" s="1"/>
  <c r="K36" i="1"/>
  <c r="I14" i="52"/>
  <c r="J36" i="1" l="1"/>
  <c r="H36" i="1" s="1"/>
  <c r="G38" i="1"/>
  <c r="K35" i="1"/>
  <c r="J35" i="1" l="1"/>
  <c r="G36" i="1"/>
  <c r="M19" i="1" l="1"/>
  <c r="M18" i="1"/>
  <c r="M17" i="1"/>
  <c r="H35" i="1"/>
  <c r="G35" i="1"/>
  <c r="M16" i="1" s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<sst xmlns="http://schemas.openxmlformats.org/spreadsheetml/2006/main" count="201" uniqueCount="105">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</sst>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3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2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7D470"/>
      <color rgb="FFF36B4B"/>
      <color rgb="FFFF6600"/>
      <color rgb="FFABF34B"/>
      <color rgb="FFABF346"/>
      <color rgb="FFABF32B"/>
      <color rgb="FFABF37E"/>
      <color rgb="FFA4DC7E"/>
      <color rgb="FF09AB4B"/>
      <color rgb="FFF3A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R38"/>
  <sheetViews>
    <sheetView tabSelected="1" topLeftCell="A5" zoomScaleNormal="100" workbookViewId="0">
      <selection activeCell="D8" sqref="D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8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3" t="s">
        <v>68</v>
      </c>
      <c r="G3" s="114"/>
      <c r="H3" s="114"/>
      <c r="I3" s="115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6"/>
      <c r="G4" s="117"/>
      <c r="H4" s="117"/>
      <c r="I4" s="118"/>
      <c r="J4" s="37"/>
      <c r="K4" s="53" t="s">
        <v>16</v>
      </c>
      <c r="L4" s="48" t="s">
        <v>31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6"/>
      <c r="G5" s="117"/>
      <c r="H5" s="117"/>
      <c r="I5" s="118"/>
      <c r="J5" s="37"/>
      <c r="K5" s="54" t="s">
        <v>17</v>
      </c>
      <c r="L5" s="48" t="s">
        <v>33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6"/>
      <c r="G6" s="117"/>
      <c r="H6" s="117"/>
      <c r="I6" s="118"/>
      <c r="J6" s="37"/>
      <c r="K6" s="55" t="s">
        <v>18</v>
      </c>
      <c r="L6" s="49" t="s">
        <v>34</v>
      </c>
      <c r="M6" s="59">
        <f>COUNTIF(I$28:I$38, "="&amp;L6)</f>
        <v>1</v>
      </c>
    </row>
    <row r="7" spans="3:13" ht="15.75" thickBot="1" x14ac:dyDescent="0.3">
      <c r="C7" s="40" t="s">
        <v>52</v>
      </c>
      <c r="D7" s="90">
        <v>11</v>
      </c>
      <c r="F7" s="110" t="s">
        <v>66</v>
      </c>
      <c r="G7" s="111"/>
      <c r="H7" s="111"/>
      <c r="I7" s="112"/>
      <c r="J7" s="35"/>
      <c r="K7" s="55" t="s">
        <v>19</v>
      </c>
      <c r="L7" s="49" t="s">
        <v>51</v>
      </c>
      <c r="M7" s="59">
        <f>COUNTIF(I$28:I$38, "="&amp;L7)</f>
        <v>2</v>
      </c>
    </row>
    <row r="8" spans="3:13" ht="15.75" thickBot="1" x14ac:dyDescent="0.3">
      <c r="C8" s="44" t="s">
        <v>53</v>
      </c>
      <c r="D8" s="91">
        <v>4</v>
      </c>
      <c r="F8" s="107" t="s">
        <v>67</v>
      </c>
      <c r="G8" s="108"/>
      <c r="H8" s="108"/>
      <c r="I8" s="109"/>
      <c r="J8" s="35"/>
      <c r="K8" s="55" t="s">
        <v>20</v>
      </c>
      <c r="L8" s="49" t="s">
        <v>38</v>
      </c>
      <c r="M8" s="59">
        <f>COUNTIF(I$28:I$38, "="&amp;L8)</f>
        <v>2</v>
      </c>
    </row>
    <row r="9" spans="3:13" ht="15.75" thickBot="1" x14ac:dyDescent="0.3">
      <c r="J9" s="35"/>
      <c r="K9" s="56" t="s">
        <v>21</v>
      </c>
      <c r="L9" s="50" t="s">
        <v>35</v>
      </c>
      <c r="M9" s="59">
        <f>COUNTIF(I$28:I$38, "="&amp;L9)</f>
        <v>2</v>
      </c>
    </row>
    <row r="10" spans="3:13" x14ac:dyDescent="0.25">
      <c r="C10" s="38" t="s">
        <v>49</v>
      </c>
      <c r="D10" s="39">
        <v>0.5</v>
      </c>
      <c r="F10" s="119" t="s">
        <v>69</v>
      </c>
      <c r="G10" s="120"/>
      <c r="H10" s="120"/>
      <c r="I10" s="121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47</v>
      </c>
      <c r="D11" s="43">
        <v>0.4</v>
      </c>
      <c r="F11" s="110" t="s">
        <v>70</v>
      </c>
      <c r="G11" s="111"/>
      <c r="H11" s="111"/>
      <c r="I11" s="112"/>
      <c r="J11" s="35"/>
      <c r="K11" s="56" t="s">
        <v>23</v>
      </c>
      <c r="L11" s="50" t="s">
        <v>36</v>
      </c>
      <c r="M11" s="59">
        <f>COUNTIF(I$28:I$38, "="&amp;L11)</f>
        <v>1</v>
      </c>
    </row>
    <row r="12" spans="3:13" x14ac:dyDescent="0.25">
      <c r="C12" s="40" t="s">
        <v>44</v>
      </c>
      <c r="D12" s="41">
        <v>0.5</v>
      </c>
      <c r="F12" s="110" t="s">
        <v>72</v>
      </c>
      <c r="G12" s="111"/>
      <c r="H12" s="111"/>
      <c r="I12" s="112"/>
      <c r="J12" s="35"/>
      <c r="K12" s="57" t="s">
        <v>30</v>
      </c>
      <c r="L12" s="51" t="s">
        <v>37</v>
      </c>
      <c r="M12" s="59">
        <f>COUNTIF(I$28:I$38, "="&amp;L12)</f>
        <v>0</v>
      </c>
    </row>
    <row r="13" spans="3:13" ht="15.75" thickBot="1" x14ac:dyDescent="0.3">
      <c r="C13" s="44" t="s">
        <v>48</v>
      </c>
      <c r="D13" s="45">
        <v>0.4</v>
      </c>
      <c r="F13" s="107" t="s">
        <v>71</v>
      </c>
      <c r="G13" s="108"/>
      <c r="H13" s="108"/>
      <c r="I13" s="109"/>
      <c r="J13" s="35"/>
      <c r="K13" s="58" t="s">
        <v>29</v>
      </c>
      <c r="L13" s="52" t="s">
        <v>39</v>
      </c>
      <c r="M13" s="59">
        <f>COUNTIF(I$28:I$38, "="&amp;L13)</f>
        <v>1</v>
      </c>
    </row>
    <row r="14" spans="3:13" x14ac:dyDescent="0.25">
      <c r="J14" s="35"/>
      <c r="K14" s="103" t="s">
        <v>28</v>
      </c>
      <c r="L14" s="104"/>
      <c r="M14" s="60">
        <f>COUNTIF(H28:H38, "=FAIL")</f>
        <v>3</v>
      </c>
    </row>
    <row r="15" spans="3:13" x14ac:dyDescent="0.25">
      <c r="J15" s="35"/>
      <c r="K15" s="105" t="s">
        <v>27</v>
      </c>
      <c r="L15" s="106"/>
      <c r="M15" s="59">
        <f>COUNTIF(H28:H38, "=PASS")</f>
        <v>8</v>
      </c>
    </row>
    <row r="16" spans="3:13" x14ac:dyDescent="0.25">
      <c r="J16" s="35"/>
      <c r="K16" s="105" t="s">
        <v>40</v>
      </c>
      <c r="L16" s="106"/>
      <c r="M16" s="59">
        <f>COUNTIF(G28:G38, "=WRITE SUPP")</f>
        <v>2</v>
      </c>
    </row>
    <row r="17" spans="3:18" x14ac:dyDescent="0.25">
      <c r="J17" s="35"/>
      <c r="K17" s="105" t="s">
        <v>41</v>
      </c>
      <c r="L17" s="106"/>
      <c r="M17" s="61">
        <f>MAX(J28:J38)-MIN(J28:J38)</f>
        <v>0.48981818181818176</v>
      </c>
    </row>
    <row r="18" spans="3:18" x14ac:dyDescent="0.25">
      <c r="J18" s="35"/>
      <c r="K18" s="105" t="s">
        <v>42</v>
      </c>
      <c r="L18" s="106"/>
      <c r="M18" s="61">
        <f>AVERAGE(J28:J38)</f>
        <v>0.62047933884297513</v>
      </c>
    </row>
    <row r="19" spans="3:18" ht="15.75" thickBot="1" x14ac:dyDescent="0.3">
      <c r="J19" s="35"/>
      <c r="K19" s="101" t="s">
        <v>43</v>
      </c>
      <c r="L19" s="102"/>
      <c r="M19" s="62">
        <f>STDEV(J28:J38)</f>
        <v>0.13020848565681076</v>
      </c>
    </row>
    <row r="24" spans="3:18" ht="15.75" thickBot="1" x14ac:dyDescent="0.3"/>
    <row r="25" spans="3:18" ht="15.75" thickBot="1" x14ac:dyDescent="0.3">
      <c r="D25" s="63" t="s">
        <v>3</v>
      </c>
      <c r="E25" s="64" t="s">
        <v>1</v>
      </c>
      <c r="F25" s="64" t="s">
        <v>2</v>
      </c>
      <c r="G25" s="64" t="s">
        <v>46</v>
      </c>
      <c r="H25" s="64" t="s">
        <v>45</v>
      </c>
      <c r="I25" s="64" t="s">
        <v>25</v>
      </c>
      <c r="J25" s="70" t="s">
        <v>9</v>
      </c>
      <c r="K25" s="64" t="s">
        <v>4</v>
      </c>
      <c r="L25" s="64" t="s">
        <v>55</v>
      </c>
      <c r="M25" s="98" t="s">
        <v>50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 s="65"/>
    </row>
    <row r="26" spans="3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  <c r="R26" s="97"/>
    </row>
    <row r="27" spans="3:18" ht="15.75" thickBot="1" x14ac:dyDescent="0.3">
      <c r="C27" s="29" t="s">
        <v>54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 s="32"/>
    </row>
    <row r="28" spans="3:18" x14ac:dyDescent="0.25">
      <c r="D28" s="73" t="s">
        <v>77</v>
      </c>
      <c r="E28" s="96" t="s">
        <v>90</v>
      </c>
      <c r="F28" s="88" t="s">
        <v>79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STUDENT_GRADE(J28,K$4:K$13,L$4:L$13)</f>
        <v>B</v>
      </c>
      <c r="J28" s="89">
        <f t="shared" ref="J28:J37" si="1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  <c r="R28" s="75"/>
    </row>
    <row r="29" spans="3:18" x14ac:dyDescent="0.25">
      <c r="D29" s="73" t="s">
        <v>80</v>
      </c>
      <c r="E29" s="96" t="s">
        <v>78</v>
      </c>
      <c r="F29" s="88" t="s">
        <v>82</v>
      </c>
      <c r="G29" s="74" t="str">
        <f t="shared" ref="G29:G31" si="2">IF(AND(K29&gt;=D$13, J29&gt;=D$11), IF(OR(K29&lt;D$12, J29&lt;D$10), "WRITE SUPP", "NO SUPP"), "NO SUPP")</f>
        <v>NO SUPP</v>
      </c>
      <c r="H29" s="74" t="str">
        <f t="shared" ref="H29:H31" si="3">IF(K29&gt;=D$12, IF(J29&gt;=D$10, "PASS", "FAIL"), "FAIL")</f>
        <v>PASS</v>
      </c>
      <c r="I29" s="74" t="str">
        <f>STUDENT_GRADE(J29,K$4:K$13,L$4:L$13)</f>
        <v>A</v>
      </c>
      <c r="J29" s="89">
        <f t="shared" si="1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4">M29/M$27</f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  <c r="R29" s="75"/>
    </row>
    <row r="30" spans="3:18" x14ac:dyDescent="0.25">
      <c r="D30" s="73" t="s">
        <v>81</v>
      </c>
      <c r="E30" s="73" t="s">
        <v>85</v>
      </c>
      <c r="F30" s="88" t="s">
        <v>83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1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4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  <c r="R30" s="75"/>
    </row>
    <row r="31" spans="3:18" x14ac:dyDescent="0.25">
      <c r="D31" s="73" t="s">
        <v>86</v>
      </c>
      <c r="E31" s="73" t="s">
        <v>87</v>
      </c>
      <c r="F31" s="88" t="s">
        <v>84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4"/>
        <v>0.55909090909090908</v>
      </c>
      <c r="M31" s="74">
        <f>SUM(N31:Q31)</f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  <c r="R31" s="75"/>
    </row>
    <row r="32" spans="3:18" x14ac:dyDescent="0.25">
      <c r="D32" s="73" t="s">
        <v>89</v>
      </c>
      <c r="E32" s="73" t="s">
        <v>88</v>
      </c>
      <c r="F32" s="88" t="s">
        <v>91</v>
      </c>
      <c r="G32" s="74" t="str">
        <f t="shared" ref="G32:G36" si="5">IF(AND(K32&gt;=D$13, J32&gt;=D$11), IF(OR(K32&lt;D$12, J32&lt;D$10), "WRITE SUPP", "NO SUPP"), "NO SUPP")</f>
        <v>WRITE SUPP</v>
      </c>
      <c r="H32" s="74" t="str">
        <f t="shared" ref="H32:H36" si="6">IF(K32&gt;=D$12, IF(J32&gt;=D$10, "PASS", "FAIL"), "FAIL")</f>
        <v>FAIL</v>
      </c>
      <c r="I32" s="74" t="str">
        <f>STUDENT_GRADE(J32,K$4:K$13,L$4:L$13)</f>
        <v>C+</v>
      </c>
      <c r="J32" s="89">
        <f t="shared" si="1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7">M32/M$27</f>
        <v>0.69545454545454544</v>
      </c>
      <c r="M32" s="74">
        <f>SUM(N32:Q32)</f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  <c r="R32" s="75"/>
    </row>
    <row r="33" spans="4:18" x14ac:dyDescent="0.25">
      <c r="D33" s="73" t="s">
        <v>93</v>
      </c>
      <c r="E33" s="73" t="s">
        <v>92</v>
      </c>
      <c r="F33" s="88" t="s">
        <v>94</v>
      </c>
      <c r="G33" s="74" t="str">
        <f t="shared" si="5"/>
        <v>WRITE SUPP</v>
      </c>
      <c r="H33" s="74" t="str">
        <f t="shared" si="6"/>
        <v>FAIL</v>
      </c>
      <c r="I33" s="74" t="str">
        <f>STUDENT_GRADE(J33,K$4:K$13,L$4:L$13)</f>
        <v>C-</v>
      </c>
      <c r="J33" s="89">
        <f t="shared" si="1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7"/>
        <v>0.37272727272727274</v>
      </c>
      <c r="M33" s="74">
        <f>SUM(N33:Q33)</f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  <c r="R33" s="75"/>
    </row>
    <row r="34" spans="4:18" x14ac:dyDescent="0.25">
      <c r="D34" s="73" t="s">
        <v>96</v>
      </c>
      <c r="E34" s="73" t="s">
        <v>95</v>
      </c>
      <c r="F34" s="88" t="s">
        <v>98</v>
      </c>
      <c r="G34" s="74" t="str">
        <f t="shared" si="5"/>
        <v>NO SUPP</v>
      </c>
      <c r="H34" s="74" t="str">
        <f t="shared" si="6"/>
        <v>PASS</v>
      </c>
      <c r="I34" s="74" t="str">
        <f>STUDENT_GRADE(J34,K$4:K$13,L$4:L$13)</f>
        <v>C+</v>
      </c>
      <c r="J34" s="89">
        <f t="shared" si="1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7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  <c r="R34" s="75"/>
    </row>
    <row r="35" spans="4:18" x14ac:dyDescent="0.25">
      <c r="D35" s="73" t="s">
        <v>96</v>
      </c>
      <c r="E35" s="73" t="s">
        <v>100</v>
      </c>
      <c r="F35" s="88" t="s">
        <v>99</v>
      </c>
      <c r="G35" s="74" t="str">
        <f t="shared" si="5"/>
        <v>NO SUPP</v>
      </c>
      <c r="H35" s="74" t="str">
        <f t="shared" si="6"/>
        <v>PASS</v>
      </c>
      <c r="I35" s="74" t="str">
        <f>STUDENT_GRADE(J35,K$4:K$13,L$4:L$13)</f>
        <v>B-</v>
      </c>
      <c r="J35" s="89">
        <f t="shared" si="1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7"/>
        <v>0.55454545454545456</v>
      </c>
      <c r="M35" s="74">
        <f>SUM(N35:Q35)</f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  <c r="R35" s="75"/>
    </row>
    <row r="36" spans="4:18" x14ac:dyDescent="0.25">
      <c r="D36" s="73" t="s">
        <v>96</v>
      </c>
      <c r="E36" s="73" t="s">
        <v>97</v>
      </c>
      <c r="F36" s="88" t="s">
        <v>101</v>
      </c>
      <c r="G36" s="74" t="str">
        <f t="shared" si="5"/>
        <v>NO SUPP</v>
      </c>
      <c r="H36" s="74" t="str">
        <f t="shared" si="6"/>
        <v>PASS</v>
      </c>
      <c r="I36" s="74" t="str">
        <f>STUDENT_GRADE(J36,K$4:K$13,L$4:L$13)</f>
        <v>B</v>
      </c>
      <c r="J36" s="89">
        <f t="shared" si="1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7"/>
        <v>0.6045454545454545</v>
      </c>
      <c r="M36" s="74">
        <f>SUM(N36:Q36)</f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  <c r="R36" s="75"/>
    </row>
    <row r="37" spans="4:18" x14ac:dyDescent="0.25">
      <c r="D37" s="73" t="s">
        <v>2</v>
      </c>
      <c r="E37" s="73" t="s">
        <v>97</v>
      </c>
      <c r="F37" s="88"/>
      <c r="G37" s="74" t="str">
        <f t="shared" ref="G37" si="8">IF(AND(K37&gt;=D$13, J37&gt;=D$11), IF(OR(K37&lt;D$12, J37&lt;D$10), "WRITE SUPP", "NO SUPP"), "NO SUPP")</f>
        <v>NO SUPP</v>
      </c>
      <c r="H37" s="74" t="str">
        <f t="shared" ref="H37" si="9">IF(K37&gt;=D$12, IF(J37&gt;=D$10, "PASS", "FAIL"), "FAIL")</f>
        <v>PASS</v>
      </c>
      <c r="I37" s="74" t="str">
        <f>STUDENT_GRADE(J37,K$4:K$13,L$4:L$13)</f>
        <v>B+</v>
      </c>
      <c r="J37" s="89">
        <f t="shared" si="1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0">M37/M$27</f>
        <v>0.70909090909090911</v>
      </c>
      <c r="M37" s="74">
        <f>SUM(N37:Q37)</f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  <c r="R37" s="75"/>
    </row>
    <row r="38" spans="4:18" x14ac:dyDescent="0.25">
      <c r="D38" s="73" t="s">
        <v>103</v>
      </c>
      <c r="E38" s="73" t="s">
        <v>102</v>
      </c>
      <c r="F38" s="88" t="s">
        <v>104</v>
      </c>
      <c r="G38" s="74" t="str">
        <f t="shared" ref="G38" si="11">IF(AND(K38&gt;=D$13, J38&gt;=D$11), IF(OR(K38&lt;D$12, J38&lt;D$10), "WRITE SUPP", "NO SUPP"), "NO SUPP")</f>
        <v>NO SUPP</v>
      </c>
      <c r="H38" s="74" t="str">
        <f t="shared" ref="H38" si="12">IF(K38&gt;=D$12, IF(J38&gt;=D$10, "PASS", "FAIL"), "FAIL")</f>
        <v>PASS</v>
      </c>
      <c r="I38" s="74" t="str">
        <f>STUDENT_GRADE(J38,K$4:K$13,L$4:L$13)</f>
        <v>B-</v>
      </c>
      <c r="J38" s="89">
        <f t="shared" ref="J38" si="13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14">M38/M$27</f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  <c r="R38" s="75"/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ontainsText" dxfId="151" priority="4346" operator="containsText" text="A">
      <formula>NOT(ISERROR(SEARCH("A",I28)))</formula>
    </cfRule>
  </conditionalFormatting>
  <conditionalFormatting sqref="G28">
    <cfRule type="containsText" dxfId="150" priority="4345" operator="containsText" text="WRITE SUPP">
      <formula>NOT(ISERROR(SEARCH("WRITE SUPP",G28)))</formula>
    </cfRule>
  </conditionalFormatting>
  <conditionalFormatting sqref="K28:K37">
    <cfRule type="containsText" dxfId="149" priority="764" operator="containsText" text="MISSING MARK">
      <formula>NOT(ISERROR(SEARCH("MISSING MARK",K28)))</formula>
    </cfRule>
    <cfRule type="containsText" dxfId="148" priority="4341" operator="containsText" text="INVALID MARK">
      <formula>NOT(ISERROR(SEARCH("INVALID MARK",K28)))</formula>
    </cfRule>
    <cfRule type="cellIs" dxfId="147" priority="4348" operator="lessThan">
      <formula>$D$12</formula>
    </cfRule>
    <cfRule type="cellIs" priority="4349" operator="greaterThanOrEqual">
      <formula>$D$12</formula>
    </cfRule>
    <cfRule type="expression" dxfId="146" priority="4350">
      <formula>"&gt;=$D$10"</formula>
    </cfRule>
  </conditionalFormatting>
  <conditionalFormatting sqref="N28 R28:R38">
    <cfRule type="containsText" dxfId="145" priority="4342" operator="containsText" text="INVALID MARK">
      <formula>NOT(ISERROR(SEARCH("INVALID MARK",N28)))</formula>
    </cfRule>
    <cfRule type="containsText" dxfId="144" priority="4343" operator="containsText" text="INVALID ENTRY">
      <formula>NOT(ISERROR(SEARCH("INVALID ENTRY",N28)))</formula>
    </cfRule>
    <cfRule type="containsText" dxfId="143" priority="4344" operator="containsText" text="MISSING MARK">
      <formula>NOT(ISERROR(SEARCH("MISSING MARK",N28)))</formula>
    </cfRule>
  </conditionalFormatting>
  <conditionalFormatting sqref="H28">
    <cfRule type="containsText" dxfId="142" priority="4340" operator="containsText" text="FAIL">
      <formula>NOT(ISERROR(SEARCH("FAIL",H28)))</formula>
    </cfRule>
  </conditionalFormatting>
  <conditionalFormatting sqref="I28:I38">
    <cfRule type="containsText" dxfId="141" priority="4096" operator="containsText" text="F">
      <formula>NOT(ISERROR(SEARCH("F",I28)))</formula>
    </cfRule>
    <cfRule type="containsText" dxfId="140" priority="4097" operator="containsText" text="D">
      <formula>NOT(ISERROR(SEARCH("D",I28)))</formula>
    </cfRule>
    <cfRule type="containsText" dxfId="139" priority="4098" operator="containsText" text="C">
      <formula>NOT(ISERROR(SEARCH("C",I28)))</formula>
    </cfRule>
    <cfRule type="containsText" dxfId="138" priority="4099" operator="containsText" text="B">
      <formula>NOT(ISERROR(SEARCH("B",I28)))</formula>
    </cfRule>
  </conditionalFormatting>
  <conditionalFormatting sqref="G29:G31">
    <cfRule type="containsText" dxfId="137" priority="904" operator="containsText" text="WRITE SUPP">
      <formula>NOT(ISERROR(SEARCH("WRITE SUPP",G29)))</formula>
    </cfRule>
  </conditionalFormatting>
  <conditionalFormatting sqref="J28:J37">
    <cfRule type="cellIs" dxfId="136" priority="906" operator="lessThan">
      <formula>$D$10</formula>
    </cfRule>
  </conditionalFormatting>
  <conditionalFormatting sqref="N29:N31">
    <cfRule type="containsText" dxfId="135" priority="901" operator="containsText" text="INVALID MARK">
      <formula>NOT(ISERROR(SEARCH("INVALID MARK",N29)))</formula>
    </cfRule>
    <cfRule type="containsText" dxfId="134" priority="902" operator="containsText" text="INVALID ENTRY">
      <formula>NOT(ISERROR(SEARCH("INVALID ENTRY",N29)))</formula>
    </cfRule>
    <cfRule type="containsText" dxfId="133" priority="903" operator="containsText" text="MISSING MARK">
      <formula>NOT(ISERROR(SEARCH("MISSING MARK",N29)))</formula>
    </cfRule>
  </conditionalFormatting>
  <conditionalFormatting sqref="H29:H31">
    <cfRule type="containsText" dxfId="132" priority="899" operator="containsText" text="FAIL">
      <formula>NOT(ISERROR(SEARCH("FAIL",H29)))</formula>
    </cfRule>
  </conditionalFormatting>
  <conditionalFormatting sqref="O28">
    <cfRule type="containsText" dxfId="131" priority="892" operator="containsText" text="INVALID MARK">
      <formula>NOT(ISERROR(SEARCH("INVALID MARK",O28)))</formula>
    </cfRule>
    <cfRule type="containsText" dxfId="130" priority="893" operator="containsText" text="INVALID ENTRY">
      <formula>NOT(ISERROR(SEARCH("INVALID ENTRY",O28)))</formula>
    </cfRule>
    <cfRule type="containsText" dxfId="129" priority="894" operator="containsText" text="MISSING MARK">
      <formula>NOT(ISERROR(SEARCH("MISSING MARK",O28)))</formula>
    </cfRule>
  </conditionalFormatting>
  <conditionalFormatting sqref="O29:O31">
    <cfRule type="containsText" dxfId="128" priority="889" operator="containsText" text="INVALID MARK">
      <formula>NOT(ISERROR(SEARCH("INVALID MARK",O29)))</formula>
    </cfRule>
    <cfRule type="containsText" dxfId="127" priority="890" operator="containsText" text="INVALID ENTRY">
      <formula>NOT(ISERROR(SEARCH("INVALID ENTRY",O29)))</formula>
    </cfRule>
    <cfRule type="containsText" dxfId="126" priority="891" operator="containsText" text="MISSING MARK">
      <formula>NOT(ISERROR(SEARCH("MISSING MARK",O29)))</formula>
    </cfRule>
  </conditionalFormatting>
  <conditionalFormatting sqref="P28">
    <cfRule type="containsText" dxfId="125" priority="886" operator="containsText" text="INVALID MARK">
      <formula>NOT(ISERROR(SEARCH("INVALID MARK",P28)))</formula>
    </cfRule>
    <cfRule type="containsText" dxfId="124" priority="887" operator="containsText" text="INVALID ENTRY">
      <formula>NOT(ISERROR(SEARCH("INVALID ENTRY",P28)))</formula>
    </cfRule>
    <cfRule type="containsText" dxfId="123" priority="888" operator="containsText" text="MISSING MARK">
      <formula>NOT(ISERROR(SEARCH("MISSING MARK",P28)))</formula>
    </cfRule>
  </conditionalFormatting>
  <conditionalFormatting sqref="P29:P31">
    <cfRule type="containsText" dxfId="122" priority="883" operator="containsText" text="INVALID MARK">
      <formula>NOT(ISERROR(SEARCH("INVALID MARK",P29)))</formula>
    </cfRule>
    <cfRule type="containsText" dxfId="121" priority="884" operator="containsText" text="INVALID ENTRY">
      <formula>NOT(ISERROR(SEARCH("INVALID ENTRY",P29)))</formula>
    </cfRule>
    <cfRule type="containsText" dxfId="120" priority="885" operator="containsText" text="MISSING MARK">
      <formula>NOT(ISERROR(SEARCH("MISSING MARK",P29)))</formula>
    </cfRule>
  </conditionalFormatting>
  <conditionalFormatting sqref="Q28">
    <cfRule type="containsText" dxfId="119" priority="874" operator="containsText" text="INVALID MARK">
      <formula>NOT(ISERROR(SEARCH("INVALID MARK",Q28)))</formula>
    </cfRule>
    <cfRule type="containsText" dxfId="118" priority="875" operator="containsText" text="INVALID ENTRY">
      <formula>NOT(ISERROR(SEARCH("INVALID ENTRY",Q28)))</formula>
    </cfRule>
    <cfRule type="containsText" dxfId="117" priority="876" operator="containsText" text="MISSING MARK">
      <formula>NOT(ISERROR(SEARCH("MISSING MARK",Q28)))</formula>
    </cfRule>
  </conditionalFormatting>
  <conditionalFormatting sqref="Q29:Q31">
    <cfRule type="containsText" dxfId="116" priority="871" operator="containsText" text="INVALID MARK">
      <formula>NOT(ISERROR(SEARCH("INVALID MARK",Q29)))</formula>
    </cfRule>
    <cfRule type="containsText" dxfId="115" priority="872" operator="containsText" text="INVALID ENTRY">
      <formula>NOT(ISERROR(SEARCH("INVALID ENTRY",Q29)))</formula>
    </cfRule>
    <cfRule type="containsText" dxfId="114" priority="873" operator="containsText" text="MISSING MARK">
      <formula>NOT(ISERROR(SEARCH("MISSING MARK",Q29)))</formula>
    </cfRule>
  </conditionalFormatting>
  <conditionalFormatting sqref="G32:G36">
    <cfRule type="containsText" dxfId="113" priority="865" operator="containsText" text="WRITE SUPP">
      <formula>NOT(ISERROR(SEARCH("WRITE SUPP",G32)))</formula>
    </cfRule>
  </conditionalFormatting>
  <conditionalFormatting sqref="N32:N36">
    <cfRule type="containsText" dxfId="112" priority="862" operator="containsText" text="INVALID MARK">
      <formula>NOT(ISERROR(SEARCH("INVALID MARK",N32)))</formula>
    </cfRule>
    <cfRule type="containsText" dxfId="111" priority="863" operator="containsText" text="INVALID ENTRY">
      <formula>NOT(ISERROR(SEARCH("INVALID ENTRY",N32)))</formula>
    </cfRule>
    <cfRule type="containsText" dxfId="110" priority="864" operator="containsText" text="MISSING MARK">
      <formula>NOT(ISERROR(SEARCH("MISSING MARK",N32)))</formula>
    </cfRule>
  </conditionalFormatting>
  <conditionalFormatting sqref="H32:H36">
    <cfRule type="containsText" dxfId="109" priority="860" operator="containsText" text="FAIL">
      <formula>NOT(ISERROR(SEARCH("FAIL",H32)))</formula>
    </cfRule>
  </conditionalFormatting>
  <conditionalFormatting sqref="O32:O36">
    <cfRule type="containsText" dxfId="108" priority="853" operator="containsText" text="INVALID MARK">
      <formula>NOT(ISERROR(SEARCH("INVALID MARK",O32)))</formula>
    </cfRule>
    <cfRule type="containsText" dxfId="107" priority="854" operator="containsText" text="INVALID ENTRY">
      <formula>NOT(ISERROR(SEARCH("INVALID ENTRY",O32)))</formula>
    </cfRule>
    <cfRule type="containsText" dxfId="106" priority="855" operator="containsText" text="MISSING MARK">
      <formula>NOT(ISERROR(SEARCH("MISSING MARK",O32)))</formula>
    </cfRule>
  </conditionalFormatting>
  <conditionalFormatting sqref="P32:P36">
    <cfRule type="containsText" dxfId="105" priority="850" operator="containsText" text="INVALID MARK">
      <formula>NOT(ISERROR(SEARCH("INVALID MARK",P32)))</formula>
    </cfRule>
    <cfRule type="containsText" dxfId="104" priority="851" operator="containsText" text="INVALID ENTRY">
      <formula>NOT(ISERROR(SEARCH("INVALID ENTRY",P32)))</formula>
    </cfRule>
    <cfRule type="containsText" dxfId="103" priority="852" operator="containsText" text="MISSING MARK">
      <formula>NOT(ISERROR(SEARCH("MISSING MARK",P32)))</formula>
    </cfRule>
  </conditionalFormatting>
  <conditionalFormatting sqref="Q32:Q36">
    <cfRule type="containsText" dxfId="102" priority="847" operator="containsText" text="INVALID MARK">
      <formula>NOT(ISERROR(SEARCH("INVALID MARK",Q32)))</formula>
    </cfRule>
    <cfRule type="containsText" dxfId="101" priority="848" operator="containsText" text="INVALID ENTRY">
      <formula>NOT(ISERROR(SEARCH("INVALID ENTRY",Q32)))</formula>
    </cfRule>
    <cfRule type="containsText" dxfId="100" priority="849" operator="containsText" text="MISSING MARK">
      <formula>NOT(ISERROR(SEARCH("MISSING MARK",Q32)))</formula>
    </cfRule>
  </conditionalFormatting>
  <conditionalFormatting sqref="G37">
    <cfRule type="containsText" dxfId="99" priority="832" operator="containsText" text="WRITE SUPP">
      <formula>NOT(ISERROR(SEARCH("WRITE SUPP",G37)))</formula>
    </cfRule>
  </conditionalFormatting>
  <conditionalFormatting sqref="N37">
    <cfRule type="containsText" dxfId="98" priority="829" operator="containsText" text="INVALID MARK">
      <formula>NOT(ISERROR(SEARCH("INVALID MARK",N37)))</formula>
    </cfRule>
    <cfRule type="containsText" dxfId="97" priority="830" operator="containsText" text="INVALID ENTRY">
      <formula>NOT(ISERROR(SEARCH("INVALID ENTRY",N37)))</formula>
    </cfRule>
    <cfRule type="containsText" dxfId="96" priority="831" operator="containsText" text="MISSING MARK">
      <formula>NOT(ISERROR(SEARCH("MISSING MARK",N37)))</formula>
    </cfRule>
  </conditionalFormatting>
  <conditionalFormatting sqref="H37">
    <cfRule type="containsText" dxfId="95" priority="827" operator="containsText" text="FAIL">
      <formula>NOT(ISERROR(SEARCH("FAIL",H37)))</formula>
    </cfRule>
  </conditionalFormatting>
  <conditionalFormatting sqref="O37">
    <cfRule type="containsText" dxfId="94" priority="820" operator="containsText" text="INVALID MARK">
      <formula>NOT(ISERROR(SEARCH("INVALID MARK",O37)))</formula>
    </cfRule>
    <cfRule type="containsText" dxfId="93" priority="821" operator="containsText" text="INVALID ENTRY">
      <formula>NOT(ISERROR(SEARCH("INVALID ENTRY",O37)))</formula>
    </cfRule>
    <cfRule type="containsText" dxfId="92" priority="822" operator="containsText" text="MISSING MARK">
      <formula>NOT(ISERROR(SEARCH("MISSING MARK",O37)))</formula>
    </cfRule>
  </conditionalFormatting>
  <conditionalFormatting sqref="P37">
    <cfRule type="containsText" dxfId="91" priority="817" operator="containsText" text="INVALID MARK">
      <formula>NOT(ISERROR(SEARCH("INVALID MARK",P37)))</formula>
    </cfRule>
    <cfRule type="containsText" dxfId="90" priority="818" operator="containsText" text="INVALID ENTRY">
      <formula>NOT(ISERROR(SEARCH("INVALID ENTRY",P37)))</formula>
    </cfRule>
    <cfRule type="containsText" dxfId="89" priority="819" operator="containsText" text="MISSING MARK">
      <formula>NOT(ISERROR(SEARCH("MISSING MARK",P37)))</formula>
    </cfRule>
  </conditionalFormatting>
  <conditionalFormatting sqref="Q37">
    <cfRule type="containsText" dxfId="88" priority="814" operator="containsText" text="INVALID MARK">
      <formula>NOT(ISERROR(SEARCH("INVALID MARK",Q37)))</formula>
    </cfRule>
    <cfRule type="containsText" dxfId="87" priority="815" operator="containsText" text="INVALID ENTRY">
      <formula>NOT(ISERROR(SEARCH("INVALID ENTRY",Q37)))</formula>
    </cfRule>
    <cfRule type="containsText" dxfId="86" priority="816" operator="containsText" text="MISSING MARK">
      <formula>NOT(ISERROR(SEARCH("MISSING MARK",Q37)))</formula>
    </cfRule>
  </conditionalFormatting>
  <conditionalFormatting sqref="K38">
    <cfRule type="containsText" dxfId="85" priority="714" operator="containsText" text="MISSING MARK">
      <formula>NOT(ISERROR(SEARCH("MISSING MARK",K38)))</formula>
    </cfRule>
    <cfRule type="containsText" dxfId="84" priority="735" operator="containsText" text="INVALID MARK">
      <formula>NOT(ISERROR(SEARCH("INVALID MARK",K38)))</formula>
    </cfRule>
    <cfRule type="cellIs" dxfId="83" priority="736" operator="lessThan">
      <formula>$D$12</formula>
    </cfRule>
    <cfRule type="cellIs" priority="737" operator="greaterThanOrEqual">
      <formula>$D$12</formula>
    </cfRule>
    <cfRule type="expression" dxfId="82" priority="738">
      <formula>"&gt;=$D$10"</formula>
    </cfRule>
  </conditionalFormatting>
  <conditionalFormatting sqref="J38">
    <cfRule type="cellIs" dxfId="81" priority="734" operator="lessThan">
      <formula>$D$10</formula>
    </cfRule>
  </conditionalFormatting>
  <conditionalFormatting sqref="G38">
    <cfRule type="containsText" dxfId="80" priority="732" operator="containsText" text="WRITE SUPP">
      <formula>NOT(ISERROR(SEARCH("WRITE SUPP",G38)))</formula>
    </cfRule>
  </conditionalFormatting>
  <conditionalFormatting sqref="N38">
    <cfRule type="containsText" dxfId="79" priority="729" operator="containsText" text="INVALID MARK">
      <formula>NOT(ISERROR(SEARCH("INVALID MARK",N38)))</formula>
    </cfRule>
    <cfRule type="containsText" dxfId="78" priority="730" operator="containsText" text="INVALID ENTRY">
      <formula>NOT(ISERROR(SEARCH("INVALID ENTRY",N38)))</formula>
    </cfRule>
    <cfRule type="containsText" dxfId="77" priority="731" operator="containsText" text="MISSING MARK">
      <formula>NOT(ISERROR(SEARCH("MISSING MARK",N38)))</formula>
    </cfRule>
  </conditionalFormatting>
  <conditionalFormatting sqref="H38">
    <cfRule type="containsText" dxfId="76" priority="728" operator="containsText" text="FAIL">
      <formula>NOT(ISERROR(SEARCH("FAIL",H38)))</formula>
    </cfRule>
  </conditionalFormatting>
  <conditionalFormatting sqref="O38">
    <cfRule type="containsText" dxfId="75" priority="721" operator="containsText" text="INVALID MARK">
      <formula>NOT(ISERROR(SEARCH("INVALID MARK",O38)))</formula>
    </cfRule>
    <cfRule type="containsText" dxfId="74" priority="722" operator="containsText" text="INVALID ENTRY">
      <formula>NOT(ISERROR(SEARCH("INVALID ENTRY",O38)))</formula>
    </cfRule>
    <cfRule type="containsText" dxfId="73" priority="723" operator="containsText" text="MISSING MARK">
      <formula>NOT(ISERROR(SEARCH("MISSING MARK",O38)))</formula>
    </cfRule>
  </conditionalFormatting>
  <conditionalFormatting sqref="P38">
    <cfRule type="containsText" dxfId="72" priority="718" operator="containsText" text="INVALID MARK">
      <formula>NOT(ISERROR(SEARCH("INVALID MARK",P38)))</formula>
    </cfRule>
    <cfRule type="containsText" dxfId="71" priority="719" operator="containsText" text="INVALID ENTRY">
      <formula>NOT(ISERROR(SEARCH("INVALID ENTRY",P38)))</formula>
    </cfRule>
    <cfRule type="containsText" dxfId="70" priority="720" operator="containsText" text="MISSING MARK">
      <formula>NOT(ISERROR(SEARCH("MISSING MARK",P38)))</formula>
    </cfRule>
  </conditionalFormatting>
  <conditionalFormatting sqref="Q38">
    <cfRule type="containsText" dxfId="69" priority="715" operator="containsText" text="INVALID MARK">
      <formula>NOT(ISERROR(SEARCH("INVALID MARK",Q38)))</formula>
    </cfRule>
    <cfRule type="containsText" dxfId="68" priority="716" operator="containsText" text="INVALID ENTRY">
      <formula>NOT(ISERROR(SEARCH("INVALID ENTRY",Q38)))</formula>
    </cfRule>
    <cfRule type="containsText" dxfId="67" priority="717" operator="containsText" text="MISSING MARK">
      <formula>NOT(ISERROR(SEARCH("MISSING MARK",Q38)))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22" t="s">
        <v>76</v>
      </c>
      <c r="G4" s="122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331" operator="containsText" text="INVALID MARK">
      <formula>NOT(ISERROR(SEARCH("INVALID MARK",I7)))</formula>
    </cfRule>
    <cfRule type="containsText" dxfId="65" priority="332" operator="containsText" text="INVALID ENTRY">
      <formula>NOT(ISERROR(SEARCH("INVALID ENTRY",I7)))</formula>
    </cfRule>
    <cfRule type="containsText" dxfId="64" priority="333" operator="containsText" text="MISSING MARK">
      <formula>NOT(ISERROR(SEARCH("MISSING MARK",I7)))</formula>
    </cfRule>
  </conditionalFormatting>
  <conditionalFormatting sqref="D7">
    <cfRule type="containsText" dxfId="63" priority="161" operator="containsText" text="FAIL">
      <formula>NOT(ISERROR(SEARCH("FAIL",D7)))</formula>
    </cfRule>
    <cfRule type="containsText" dxfId="62" priority="162" operator="containsText" text="PASS">
      <formula>NOT(ISERROR(SEARCH("PASS",D7)))</formula>
    </cfRule>
  </conditionalFormatting>
  <conditionalFormatting sqref="D8:D10">
    <cfRule type="containsText" dxfId="61" priority="146" operator="containsText" text="FAIL">
      <formula>NOT(ISERROR(SEARCH("FAIL",D8)))</formula>
    </cfRule>
    <cfRule type="containsText" dxfId="60" priority="147" operator="containsText" text="PASS">
      <formula>NOT(ISERROR(SEARCH("PASS",D8)))</formula>
    </cfRule>
  </conditionalFormatting>
  <conditionalFormatting sqref="D11:D15">
    <cfRule type="containsText" dxfId="59" priority="141" operator="containsText" text="FAIL">
      <formula>NOT(ISERROR(SEARCH("FAIL",D11)))</formula>
    </cfRule>
    <cfRule type="containsText" dxfId="58" priority="142" operator="containsText" text="PASS">
      <formula>NOT(ISERROR(SEARCH("PASS",D11)))</formula>
    </cfRule>
  </conditionalFormatting>
  <conditionalFormatting sqref="D16">
    <cfRule type="containsText" dxfId="57" priority="136" operator="containsText" text="FAIL">
      <formula>NOT(ISERROR(SEARCH("FAIL",D16)))</formula>
    </cfRule>
    <cfRule type="containsText" dxfId="56" priority="137" operator="containsText" text="PASS">
      <formula>NOT(ISERROR(SEARCH("PASS",D16)))</formula>
    </cfRule>
  </conditionalFormatting>
  <conditionalFormatting sqref="D17">
    <cfRule type="containsText" dxfId="55" priority="116" operator="containsText" text="FAIL">
      <formula>NOT(ISERROR(SEARCH("FAIL",D17)))</formula>
    </cfRule>
    <cfRule type="containsText" dxfId="54" priority="11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35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76</v>
      </c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</sheetData>
  <mergeCells count="1">
    <mergeCell ref="F4:G4"/>
  </mergeCells>
  <conditionalFormatting sqref="I7:I17">
    <cfRule type="containsText" dxfId="53" priority="153" operator="containsText" text="INVALID MARK">
      <formula>NOT(ISERROR(SEARCH("INVALID MARK",I7)))</formula>
    </cfRule>
    <cfRule type="containsText" dxfId="52" priority="154" operator="containsText" text="INVALID ENTRY">
      <formula>NOT(ISERROR(SEARCH("INVALID ENTRY",I7)))</formula>
    </cfRule>
    <cfRule type="containsText" dxfId="51" priority="155" operator="containsText" text="MISSING MARK">
      <formula>NOT(ISERROR(SEARCH("MISSING MARK",I7)))</formula>
    </cfRule>
  </conditionalFormatting>
  <conditionalFormatting sqref="D7">
    <cfRule type="containsText" dxfId="50" priority="151" operator="containsText" text="FAIL">
      <formula>NOT(ISERROR(SEARCH("FAIL",D7)))</formula>
    </cfRule>
    <cfRule type="containsText" dxfId="49" priority="152" operator="containsText" text="PASS">
      <formula>NOT(ISERROR(SEARCH("PASS",D7)))</formula>
    </cfRule>
  </conditionalFormatting>
  <conditionalFormatting sqref="D8:D10">
    <cfRule type="containsText" dxfId="48" priority="146" operator="containsText" text="FAIL">
      <formula>NOT(ISERROR(SEARCH("FAIL",D8)))</formula>
    </cfRule>
    <cfRule type="containsText" dxfId="47" priority="147" operator="containsText" text="PASS">
      <formula>NOT(ISERROR(SEARCH("PASS",D8)))</formula>
    </cfRule>
  </conditionalFormatting>
  <conditionalFormatting sqref="D11:D15">
    <cfRule type="containsText" dxfId="46" priority="141" operator="containsText" text="FAIL">
      <formula>NOT(ISERROR(SEARCH("FAIL",D11)))</formula>
    </cfRule>
    <cfRule type="containsText" dxfId="45" priority="142" operator="containsText" text="PASS">
      <formula>NOT(ISERROR(SEARCH("PASS",D11)))</formula>
    </cfRule>
  </conditionalFormatting>
  <conditionalFormatting sqref="D16">
    <cfRule type="containsText" dxfId="44" priority="136" operator="containsText" text="FAIL">
      <formula>NOT(ISERROR(SEARCH("FAIL",D16)))</formula>
    </cfRule>
    <cfRule type="containsText" dxfId="43" priority="137" operator="containsText" text="PASS">
      <formula>NOT(ISERROR(SEARCH("PASS",D16)))</formula>
    </cfRule>
  </conditionalFormatting>
  <conditionalFormatting sqref="D17">
    <cfRule type="containsText" dxfId="42" priority="116" operator="containsText" text="FAIL">
      <formula>NOT(ISERROR(SEARCH("FAIL",D17)))</formula>
    </cfRule>
    <cfRule type="containsText" dxfId="41" priority="1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5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76</v>
      </c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</sheetData>
  <mergeCells count="1">
    <mergeCell ref="F4:G4"/>
  </mergeCells>
  <conditionalFormatting sqref="I7:I17">
    <cfRule type="containsText" dxfId="40" priority="153" operator="containsText" text="INVALID MARK">
      <formula>NOT(ISERROR(SEARCH("INVALID MARK",I7)))</formula>
    </cfRule>
    <cfRule type="containsText" dxfId="39" priority="154" operator="containsText" text="INVALID ENTRY">
      <formula>NOT(ISERROR(SEARCH("INVALID ENTRY",I7)))</formula>
    </cfRule>
    <cfRule type="containsText" dxfId="38" priority="155" operator="containsText" text="MISSING MARK">
      <formula>NOT(ISERROR(SEARCH("MISSING MARK",I7)))</formula>
    </cfRule>
  </conditionalFormatting>
  <conditionalFormatting sqref="D7">
    <cfRule type="containsText" dxfId="37" priority="151" operator="containsText" text="FAIL">
      <formula>NOT(ISERROR(SEARCH("FAIL",D7)))</formula>
    </cfRule>
    <cfRule type="containsText" dxfId="36" priority="152" operator="containsText" text="PASS">
      <formula>NOT(ISERROR(SEARCH("PASS",D7)))</formula>
    </cfRule>
  </conditionalFormatting>
  <conditionalFormatting sqref="D8:D10">
    <cfRule type="containsText" dxfId="35" priority="146" operator="containsText" text="FAIL">
      <formula>NOT(ISERROR(SEARCH("FAIL",D8)))</formula>
    </cfRule>
    <cfRule type="containsText" dxfId="34" priority="147" operator="containsText" text="PASS">
      <formula>NOT(ISERROR(SEARCH("PASS",D8)))</formula>
    </cfRule>
  </conditionalFormatting>
  <conditionalFormatting sqref="D11:D15">
    <cfRule type="containsText" dxfId="33" priority="141" operator="containsText" text="FAIL">
      <formula>NOT(ISERROR(SEARCH("FAIL",D11)))</formula>
    </cfRule>
    <cfRule type="containsText" dxfId="32" priority="142" operator="containsText" text="PASS">
      <formula>NOT(ISERROR(SEARCH("PASS",D11)))</formula>
    </cfRule>
  </conditionalFormatting>
  <conditionalFormatting sqref="D16">
    <cfRule type="containsText" dxfId="31" priority="136" operator="containsText" text="FAIL">
      <formula>NOT(ISERROR(SEARCH("FAIL",D16)))</formula>
    </cfRule>
    <cfRule type="containsText" dxfId="30" priority="137" operator="containsText" text="PASS">
      <formula>NOT(ISERROR(SEARCH("PASS",D16)))</formula>
    </cfRule>
  </conditionalFormatting>
  <conditionalFormatting sqref="D17">
    <cfRule type="containsText" dxfId="29" priority="116" operator="containsText" text="FAIL">
      <formula>NOT(ISERROR(SEARCH("FAIL",D17)))</formula>
    </cfRule>
    <cfRule type="containsText" dxfId="28" priority="1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35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76</v>
      </c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</sheetData>
  <mergeCells count="1">
    <mergeCell ref="F4:G4"/>
  </mergeCells>
  <conditionalFormatting sqref="I7:I17">
    <cfRule type="containsText" dxfId="27" priority="153" operator="containsText" text="INVALID MARK">
      <formula>NOT(ISERROR(SEARCH("INVALID MARK",I7)))</formula>
    </cfRule>
    <cfRule type="containsText" dxfId="26" priority="154" operator="containsText" text="INVALID ENTRY">
      <formula>NOT(ISERROR(SEARCH("INVALID ENTRY",I7)))</formula>
    </cfRule>
    <cfRule type="containsText" dxfId="25" priority="155" operator="containsText" text="MISSING MARK">
      <formula>NOT(ISERROR(SEARCH("MISSING MARK",I7)))</formula>
    </cfRule>
  </conditionalFormatting>
  <conditionalFormatting sqref="D7">
    <cfRule type="containsText" dxfId="24" priority="151" operator="containsText" text="FAIL">
      <formula>NOT(ISERROR(SEARCH("FAIL",D7)))</formula>
    </cfRule>
    <cfRule type="containsText" dxfId="23" priority="152" operator="containsText" text="PASS">
      <formula>NOT(ISERROR(SEARCH("PASS",D7)))</formula>
    </cfRule>
  </conditionalFormatting>
  <conditionalFormatting sqref="D8:D10">
    <cfRule type="containsText" dxfId="22" priority="146" operator="containsText" text="FAIL">
      <formula>NOT(ISERROR(SEARCH("FAIL",D8)))</formula>
    </cfRule>
    <cfRule type="containsText" dxfId="21" priority="147" operator="containsText" text="PASS">
      <formula>NOT(ISERROR(SEARCH("PASS",D8)))</formula>
    </cfRule>
  </conditionalFormatting>
  <conditionalFormatting sqref="D11:D15">
    <cfRule type="containsText" dxfId="20" priority="141" operator="containsText" text="FAIL">
      <formula>NOT(ISERROR(SEARCH("FAIL",D11)))</formula>
    </cfRule>
    <cfRule type="containsText" dxfId="19" priority="142" operator="containsText" text="PASS">
      <formula>NOT(ISERROR(SEARCH("PASS",D11)))</formula>
    </cfRule>
  </conditionalFormatting>
  <conditionalFormatting sqref="D16">
    <cfRule type="containsText" dxfId="18" priority="136" operator="containsText" text="FAIL">
      <formula>NOT(ISERROR(SEARCH("FAIL",D16)))</formula>
    </cfRule>
    <cfRule type="containsText" dxfId="17" priority="137" operator="containsText" text="PASS">
      <formula>NOT(ISERROR(SEARCH("PASS",D16)))</formula>
    </cfRule>
  </conditionalFormatting>
  <conditionalFormatting sqref="D17">
    <cfRule type="containsText" dxfId="16" priority="116" operator="containsText" text="FAIL">
      <formula>NOT(ISERROR(SEARCH("FAIL",D17)))</formula>
    </cfRule>
    <cfRule type="containsText" dxfId="15" priority="1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2"/>
      <c r="G4" s="122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56</v>
      </c>
      <c r="M5" s="87" t="s">
        <v>57</v>
      </c>
      <c r="N5" s="87" t="s">
        <v>58</v>
      </c>
      <c r="O5" s="87" t="s">
        <v>59</v>
      </c>
      <c r="P5" s="87" t="s">
        <v>60</v>
      </c>
      <c r="Q5" s="87" t="s">
        <v>61</v>
      </c>
      <c r="R5" s="87" t="s">
        <v>62</v>
      </c>
      <c r="S5" s="87" t="s">
        <v>63</v>
      </c>
      <c r="T5" s="87" t="s">
        <v>64</v>
      </c>
      <c r="U5" s="87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420" operator="containsText" text="INVALID MARK">
      <formula>NOT(ISERROR(SEARCH("INVALID MARK",I7)))</formula>
    </cfRule>
    <cfRule type="containsText" dxfId="13" priority="421" operator="containsText" text="INVALID ENTRY">
      <formula>NOT(ISERROR(SEARCH("INVALID ENTRY",I7)))</formula>
    </cfRule>
    <cfRule type="containsText" dxfId="12" priority="422" operator="containsText" text="MISSING MARK">
      <formula>NOT(ISERROR(SEARCH("MISSING MARK",I7)))</formula>
    </cfRule>
  </conditionalFormatting>
  <conditionalFormatting sqref="D7">
    <cfRule type="containsText" dxfId="11" priority="193" operator="containsText" text="FAIL">
      <formula>NOT(ISERROR(SEARCH("FAIL",D7)))</formula>
    </cfRule>
    <cfRule type="containsText" dxfId="10" priority="194" operator="containsText" text="PASS">
      <formula>NOT(ISERROR(SEARCH("PASS",D7)))</formula>
    </cfRule>
  </conditionalFormatting>
  <conditionalFormatting sqref="D8:D10">
    <cfRule type="containsText" dxfId="9" priority="175" operator="containsText" text="FAIL">
      <formula>NOT(ISERROR(SEARCH("FAIL",D8)))</formula>
    </cfRule>
    <cfRule type="containsText" dxfId="8" priority="176" operator="containsText" text="PASS">
      <formula>NOT(ISERROR(SEARCH("PASS",D8)))</formula>
    </cfRule>
  </conditionalFormatting>
  <conditionalFormatting sqref="H7:H16">
    <cfRule type="containsText" dxfId="7" priority="171" operator="containsText" text="INVALID MARK">
      <formula>NOT(ISERROR(SEARCH("INVALID MARK",H7)))</formula>
    </cfRule>
  </conditionalFormatting>
  <conditionalFormatting sqref="D11:D15">
    <cfRule type="containsText" dxfId="6" priority="169" operator="containsText" text="FAIL">
      <formula>NOT(ISERROR(SEARCH("FAIL",D11)))</formula>
    </cfRule>
    <cfRule type="containsText" dxfId="5" priority="170" operator="containsText" text="PASS">
      <formula>NOT(ISERROR(SEARCH("PASS",D11)))</formula>
    </cfRule>
  </conditionalFormatting>
  <conditionalFormatting sqref="D16">
    <cfRule type="containsText" dxfId="4" priority="163" operator="containsText" text="FAIL">
      <formula>NOT(ISERROR(SEARCH("FAIL",D16)))</formula>
    </cfRule>
    <cfRule type="containsText" dxfId="3" priority="164" operator="containsText" text="PASS">
      <formula>NOT(ISERROR(SEARCH("PASS",D16)))</formula>
    </cfRule>
  </conditionalFormatting>
  <conditionalFormatting sqref="H17">
    <cfRule type="containsText" dxfId="2" priority="144" operator="containsText" text="INVALID MARK">
      <formula>NOT(ISERROR(SEARCH("INVALID MARK",H17)))</formula>
    </cfRule>
  </conditionalFormatting>
  <conditionalFormatting sqref="D17">
    <cfRule type="containsText" dxfId="1" priority="139" operator="containsText" text="FAIL">
      <formula>NOT(ISERROR(SEARCH("FAIL",D17)))</formula>
    </cfRule>
    <cfRule type="containsText" dxfId="0" priority="140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2020-09-22T19:54:51Z</dcterms:modified>
</cp:coreProperties>
</file>