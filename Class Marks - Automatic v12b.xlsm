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240" yWindow="105" windowWidth="14805" windowHeight="8010"/>
  </bookViews>
  <sheets>
    <sheet name="Final Marks" sheetId="1" r:id="rId1"/>
    <sheet name="Test 1" sheetId="54" r:id="rId2"/>
    <sheet name="Test 2" sheetId="55" r:id="rId3"/>
    <sheet name="Oral Assignment 1" sheetId="56" r:id="rId4"/>
    <sheet name="Test 4" sheetId="58" r:id="rId5"/>
    <sheet name="Exam" sheetId="52" r:id="rId6"/>
  </sheets>
  <functionGroups builtInGroupCount="18"/>
  <definedNames>
    <definedName name="_xlnm._FilterDatabase" localSheetId="0" hidden="1">'Final Marks'!$D$27:$N$27</definedName>
  </definedNames>
  <calcPr calcId="152511"/>
</workbook>
</file>

<file path=xl/calcChain.xml><?xml version="1.0" encoding="utf-8"?>
<calcChain xmlns="http://schemas.openxmlformats.org/spreadsheetml/2006/main">
  <c r="I38" i="1" l="1"/>
  <c r="I37" i="1"/>
  <c r="I36" i="1"/>
  <c r="I35" i="1"/>
  <c r="I34" i="1"/>
  <c r="I33" i="1"/>
  <c r="I32" i="1"/>
  <c r="I31" i="1"/>
  <c r="I30" i="1"/>
  <c r="I29" i="1"/>
  <c r="I28" i="1"/>
  <c r="I7" i="52"/>
  <c r="I15" i="52"/>
  <c r="I13" i="52"/>
  <c r="I8" i="52"/>
  <c r="I16" i="52"/>
  <c r="I9" i="52"/>
  <c r="I10" i="52"/>
  <c r="I11" i="52"/>
  <c r="I12" i="52"/>
  <c r="I14" i="52"/>
  <c r="I7" i="58"/>
  <c r="I15" i="58"/>
  <c r="I8" i="58"/>
  <c r="I16" i="58"/>
  <c r="I10" i="58"/>
  <c r="I13" i="58"/>
  <c r="I9" i="58"/>
  <c r="I12" i="58"/>
  <c r="I11" i="58"/>
  <c r="I14" i="58"/>
  <c r="I7" i="56"/>
  <c r="I15" i="56"/>
  <c r="I13" i="56"/>
  <c r="I8" i="56"/>
  <c r="I16" i="56"/>
  <c r="I11" i="56"/>
  <c r="I14" i="56"/>
  <c r="I9" i="56"/>
  <c r="I10" i="56"/>
  <c r="I12" i="56"/>
  <c r="I7" i="55"/>
  <c r="I15" i="55"/>
  <c r="I12" i="55"/>
  <c r="I8" i="55"/>
  <c r="I16" i="55"/>
  <c r="I10" i="55"/>
  <c r="I13" i="55"/>
  <c r="I9" i="55"/>
  <c r="I11" i="55"/>
  <c r="I14" i="55"/>
  <c r="I9" i="54"/>
  <c r="I10" i="54"/>
  <c r="I11" i="54"/>
  <c r="I12" i="54"/>
  <c r="I13" i="54"/>
  <c r="I14" i="54"/>
  <c r="I7" i="54"/>
  <c r="I15" i="54"/>
  <c r="I8" i="54"/>
  <c r="I16" i="54"/>
  <c r="M6" i="1" l="1"/>
  <c r="M4" i="1"/>
  <c r="M7" i="1"/>
  <c r="M8" i="1"/>
  <c r="M13" i="1"/>
  <c r="M9" i="1"/>
  <c r="M5" i="1"/>
  <c r="M10" i="1"/>
  <c r="M11" i="1"/>
  <c r="M12" i="1"/>
  <c r="K8" i="52"/>
  <c r="K9" i="52"/>
  <c r="K10" i="52"/>
  <c r="K11" i="52"/>
  <c r="K12" i="52"/>
  <c r="K13" i="52"/>
  <c r="K14" i="52"/>
  <c r="K15" i="52"/>
  <c r="K16" i="52"/>
  <c r="K17" i="52"/>
  <c r="K7" i="52"/>
  <c r="G17" i="52" l="1"/>
  <c r="F17" i="52"/>
  <c r="E17" i="52"/>
  <c r="K17" i="58"/>
  <c r="G17" i="58"/>
  <c r="F17" i="58"/>
  <c r="E17" i="58"/>
  <c r="K17" i="56"/>
  <c r="G17" i="56"/>
  <c r="F17" i="56"/>
  <c r="E17" i="56"/>
  <c r="K17" i="55"/>
  <c r="G17" i="55"/>
  <c r="F17" i="55"/>
  <c r="E17" i="55"/>
  <c r="K17" i="54"/>
  <c r="G17" i="54"/>
  <c r="F17" i="54"/>
  <c r="E17" i="54"/>
  <c r="G16" i="52" l="1"/>
  <c r="F16" i="52"/>
  <c r="E16" i="52"/>
  <c r="K16" i="58"/>
  <c r="G16" i="58"/>
  <c r="F16" i="58"/>
  <c r="E16" i="58"/>
  <c r="K16" i="56"/>
  <c r="G16" i="56"/>
  <c r="F16" i="56"/>
  <c r="E16" i="56"/>
  <c r="K16" i="55"/>
  <c r="G16" i="55"/>
  <c r="F16" i="55"/>
  <c r="E16" i="55"/>
  <c r="K16" i="54"/>
  <c r="G16" i="54"/>
  <c r="F16" i="54"/>
  <c r="E16" i="54"/>
  <c r="G15" i="52"/>
  <c r="F15" i="52"/>
  <c r="E15" i="52"/>
  <c r="G14" i="52"/>
  <c r="F14" i="52"/>
  <c r="E14" i="52"/>
  <c r="G13" i="52"/>
  <c r="F13" i="52"/>
  <c r="E13" i="52"/>
  <c r="G12" i="52"/>
  <c r="F12" i="52"/>
  <c r="E12" i="52"/>
  <c r="G11" i="52"/>
  <c r="F11" i="52"/>
  <c r="E11" i="52"/>
  <c r="K15" i="58"/>
  <c r="G15" i="58"/>
  <c r="F15" i="58"/>
  <c r="E15" i="58"/>
  <c r="K14" i="58"/>
  <c r="G14" i="58"/>
  <c r="F14" i="58"/>
  <c r="E14" i="58"/>
  <c r="K13" i="58"/>
  <c r="G13" i="58"/>
  <c r="F13" i="58"/>
  <c r="E13" i="58"/>
  <c r="K12" i="58"/>
  <c r="G12" i="58"/>
  <c r="F12" i="58"/>
  <c r="E12" i="58"/>
  <c r="K11" i="58"/>
  <c r="G11" i="58"/>
  <c r="F11" i="58"/>
  <c r="E11" i="58"/>
  <c r="K15" i="56"/>
  <c r="G15" i="56"/>
  <c r="F15" i="56"/>
  <c r="E15" i="56"/>
  <c r="K14" i="56"/>
  <c r="G14" i="56"/>
  <c r="F14" i="56"/>
  <c r="E14" i="56"/>
  <c r="K13" i="56"/>
  <c r="G13" i="56"/>
  <c r="F13" i="56"/>
  <c r="E13" i="56"/>
  <c r="K12" i="56"/>
  <c r="G12" i="56"/>
  <c r="F12" i="56"/>
  <c r="E12" i="56"/>
  <c r="K11" i="56"/>
  <c r="G11" i="56"/>
  <c r="F11" i="56"/>
  <c r="E11" i="56"/>
  <c r="K15" i="55"/>
  <c r="G15" i="55"/>
  <c r="F15" i="55"/>
  <c r="E15" i="55"/>
  <c r="K14" i="55"/>
  <c r="G14" i="55"/>
  <c r="F14" i="55"/>
  <c r="E14" i="55"/>
  <c r="K13" i="55"/>
  <c r="G13" i="55"/>
  <c r="F13" i="55"/>
  <c r="E13" i="55"/>
  <c r="K12" i="55"/>
  <c r="G12" i="55"/>
  <c r="F12" i="55"/>
  <c r="E12" i="55"/>
  <c r="K11" i="55"/>
  <c r="G11" i="55"/>
  <c r="F11" i="55"/>
  <c r="E11" i="55"/>
  <c r="K15" i="54"/>
  <c r="G15" i="54"/>
  <c r="F15" i="54"/>
  <c r="E15" i="54"/>
  <c r="K14" i="54"/>
  <c r="G14" i="54"/>
  <c r="F14" i="54"/>
  <c r="E14" i="54"/>
  <c r="K13" i="54"/>
  <c r="G13" i="54"/>
  <c r="F13" i="54"/>
  <c r="E13" i="54"/>
  <c r="K12" i="54"/>
  <c r="G12" i="54"/>
  <c r="F12" i="54"/>
  <c r="E12" i="54"/>
  <c r="K11" i="54"/>
  <c r="G11" i="54"/>
  <c r="F11" i="54"/>
  <c r="E11" i="54"/>
  <c r="K10" i="58" l="1"/>
  <c r="G10" i="58"/>
  <c r="F10" i="58"/>
  <c r="E10" i="58"/>
  <c r="K9" i="58"/>
  <c r="G9" i="58"/>
  <c r="F9" i="58"/>
  <c r="E9" i="58"/>
  <c r="K8" i="58"/>
  <c r="G8" i="58"/>
  <c r="F8" i="58"/>
  <c r="E8" i="58"/>
  <c r="K7" i="58"/>
  <c r="G7" i="58"/>
  <c r="F7" i="58"/>
  <c r="E7" i="58"/>
  <c r="K6" i="58"/>
  <c r="D3" i="58"/>
  <c r="Q25" i="1" s="1"/>
  <c r="K10" i="56"/>
  <c r="G10" i="56"/>
  <c r="F10" i="56"/>
  <c r="E10" i="56"/>
  <c r="K9" i="56"/>
  <c r="G9" i="56"/>
  <c r="F9" i="56"/>
  <c r="E9" i="56"/>
  <c r="K8" i="56"/>
  <c r="G8" i="56"/>
  <c r="F8" i="56"/>
  <c r="E8" i="56"/>
  <c r="K7" i="56"/>
  <c r="G7" i="56"/>
  <c r="F7" i="56"/>
  <c r="E7" i="56"/>
  <c r="K6" i="56"/>
  <c r="D3" i="56"/>
  <c r="P25" i="1" s="1"/>
  <c r="K10" i="55"/>
  <c r="G10" i="55"/>
  <c r="F10" i="55"/>
  <c r="E10" i="55"/>
  <c r="K9" i="55"/>
  <c r="G9" i="55"/>
  <c r="F9" i="55"/>
  <c r="E9" i="55"/>
  <c r="K8" i="55"/>
  <c r="G8" i="55"/>
  <c r="F8" i="55"/>
  <c r="E8" i="55"/>
  <c r="K7" i="55"/>
  <c r="G7" i="55"/>
  <c r="F7" i="55"/>
  <c r="E7" i="55"/>
  <c r="K6" i="55"/>
  <c r="D3" i="55"/>
  <c r="O25" i="1" s="1"/>
  <c r="G10" i="52"/>
  <c r="F10" i="52"/>
  <c r="E10" i="52"/>
  <c r="G9" i="52"/>
  <c r="F9" i="52"/>
  <c r="E9" i="52"/>
  <c r="G8" i="52"/>
  <c r="F8" i="52"/>
  <c r="E8" i="52"/>
  <c r="K10" i="54"/>
  <c r="G10" i="54"/>
  <c r="F10" i="54"/>
  <c r="E10" i="54"/>
  <c r="K9" i="54"/>
  <c r="G9" i="54"/>
  <c r="F9" i="54"/>
  <c r="E9" i="54"/>
  <c r="K8" i="54"/>
  <c r="G8" i="54"/>
  <c r="F8" i="54"/>
  <c r="E8" i="54"/>
  <c r="H17" i="55" l="1"/>
  <c r="H14" i="58"/>
  <c r="H17" i="58"/>
  <c r="H15" i="56"/>
  <c r="D15" i="56" s="1"/>
  <c r="H17" i="56"/>
  <c r="H15" i="58"/>
  <c r="H13" i="56"/>
  <c r="H16" i="56"/>
  <c r="H11" i="56"/>
  <c r="H13" i="55"/>
  <c r="H15" i="55"/>
  <c r="H13" i="58"/>
  <c r="H16" i="58"/>
  <c r="H11" i="58"/>
  <c r="H12" i="58"/>
  <c r="H14" i="56"/>
  <c r="H12" i="56"/>
  <c r="H12" i="55"/>
  <c r="H14" i="55"/>
  <c r="H16" i="55"/>
  <c r="H11" i="55"/>
  <c r="H9" i="58"/>
  <c r="H7" i="55"/>
  <c r="H9" i="55"/>
  <c r="H7" i="58"/>
  <c r="I6" i="58"/>
  <c r="Q27" i="1" s="1"/>
  <c r="H8" i="58"/>
  <c r="H10" i="58"/>
  <c r="H10" i="56"/>
  <c r="H7" i="56"/>
  <c r="H9" i="56"/>
  <c r="H8" i="56"/>
  <c r="I6" i="56"/>
  <c r="P27" i="1" s="1"/>
  <c r="I6" i="55"/>
  <c r="O27" i="1" s="1"/>
  <c r="H8" i="55"/>
  <c r="H10" i="55"/>
  <c r="G3" i="52"/>
  <c r="D17" i="56" l="1"/>
  <c r="D14" i="58"/>
  <c r="D13" i="55"/>
  <c r="D17" i="55"/>
  <c r="D15" i="58"/>
  <c r="D11" i="58"/>
  <c r="D17" i="58"/>
  <c r="D12" i="58"/>
  <c r="D14" i="56"/>
  <c r="D12" i="56"/>
  <c r="D11" i="56"/>
  <c r="D16" i="56"/>
  <c r="D11" i="55"/>
  <c r="D14" i="55"/>
  <c r="D12" i="55"/>
  <c r="D13" i="56"/>
  <c r="D15" i="55"/>
  <c r="D16" i="58"/>
  <c r="D13" i="58"/>
  <c r="D16" i="55"/>
  <c r="D9" i="58"/>
  <c r="D7" i="55"/>
  <c r="D9" i="55"/>
  <c r="D10" i="58"/>
  <c r="D8" i="58"/>
  <c r="D7" i="58"/>
  <c r="D10" i="55"/>
  <c r="D8" i="55"/>
  <c r="D10" i="56"/>
  <c r="D9" i="56"/>
  <c r="D8" i="56"/>
  <c r="D7" i="56"/>
  <c r="G7" i="52"/>
  <c r="F7" i="52"/>
  <c r="E7" i="52"/>
  <c r="K7" i="54"/>
  <c r="G7" i="54"/>
  <c r="F7" i="54"/>
  <c r="E7" i="54"/>
  <c r="N27" i="1" l="1"/>
  <c r="M27" i="1" s="1"/>
  <c r="K6" i="54" l="1"/>
  <c r="D3" i="54"/>
  <c r="N25" i="1" s="1"/>
  <c r="H17" i="54" l="1"/>
  <c r="H16" i="54"/>
  <c r="H13" i="54"/>
  <c r="H15" i="54"/>
  <c r="H14" i="54"/>
  <c r="H11" i="54"/>
  <c r="H12" i="54"/>
  <c r="H9" i="54"/>
  <c r="H8" i="54"/>
  <c r="H10" i="54"/>
  <c r="H7" i="54"/>
  <c r="I6" i="54"/>
  <c r="D14" i="54" l="1"/>
  <c r="D16" i="54"/>
  <c r="D17" i="54"/>
  <c r="D7" i="54"/>
  <c r="D15" i="54"/>
  <c r="D13" i="54"/>
  <c r="D12" i="54"/>
  <c r="D11" i="54"/>
  <c r="D10" i="54"/>
  <c r="D8" i="54"/>
  <c r="D9" i="54"/>
  <c r="K6" i="52"/>
  <c r="H17" i="52" l="1"/>
  <c r="H15" i="52"/>
  <c r="H16" i="52"/>
  <c r="H12" i="52"/>
  <c r="H14" i="52"/>
  <c r="H11" i="52"/>
  <c r="H13" i="52"/>
  <c r="H8" i="52"/>
  <c r="H10" i="52"/>
  <c r="H9" i="52"/>
  <c r="H7" i="52"/>
  <c r="I6" i="52"/>
  <c r="G5" i="52"/>
  <c r="F5" i="52"/>
  <c r="E5" i="52"/>
  <c r="D3" i="52"/>
  <c r="K31" i="1" l="1"/>
  <c r="K33" i="1"/>
  <c r="K32" i="1"/>
  <c r="K29" i="1"/>
  <c r="K30" i="1"/>
  <c r="D11" i="52"/>
  <c r="D9" i="52"/>
  <c r="K34" i="1"/>
  <c r="K28" i="1"/>
  <c r="D8" i="52"/>
  <c r="D17" i="52"/>
  <c r="D12" i="52"/>
  <c r="D7" i="52" l="1"/>
  <c r="D10" i="52" l="1"/>
  <c r="D14" i="52" l="1"/>
  <c r="D16" i="52"/>
  <c r="D13" i="52"/>
  <c r="D15" i="52"/>
  <c r="Q33" i="1" l="1"/>
  <c r="Q34" i="1"/>
  <c r="Q29" i="1"/>
  <c r="Q32" i="1"/>
  <c r="Q30" i="1"/>
  <c r="Q31" i="1"/>
  <c r="Q28" i="1"/>
  <c r="P28" i="1"/>
  <c r="P29" i="1"/>
  <c r="P30" i="1"/>
  <c r="P31" i="1"/>
  <c r="P32" i="1"/>
  <c r="P33" i="1"/>
  <c r="P34" i="1"/>
  <c r="O29" i="1"/>
  <c r="O32" i="1"/>
  <c r="O33" i="1"/>
  <c r="O34" i="1"/>
  <c r="O30" i="1"/>
  <c r="O31" i="1"/>
  <c r="O28" i="1"/>
  <c r="N31" i="1"/>
  <c r="N32" i="1"/>
  <c r="N33" i="1"/>
  <c r="N34" i="1"/>
  <c r="N29" i="1"/>
  <c r="N30" i="1"/>
  <c r="N28" i="1"/>
  <c r="M33" i="1" l="1"/>
  <c r="M30" i="1"/>
  <c r="M31" i="1"/>
  <c r="M29" i="1"/>
  <c r="M32" i="1"/>
  <c r="M28" i="1"/>
  <c r="M34" i="1"/>
  <c r="N26" i="1"/>
  <c r="P26" i="1"/>
  <c r="L32" i="1" l="1"/>
  <c r="J32" i="1" s="1"/>
  <c r="L29" i="1"/>
  <c r="J29" i="1" s="1"/>
  <c r="L31" i="1"/>
  <c r="J31" i="1" s="1"/>
  <c r="L33" i="1"/>
  <c r="J33" i="1" s="1"/>
  <c r="L34" i="1"/>
  <c r="J34" i="1" s="1"/>
  <c r="L30" i="1"/>
  <c r="J30" i="1" s="1"/>
  <c r="L28" i="1"/>
  <c r="J28" i="1" s="1"/>
  <c r="Q26" i="1"/>
  <c r="O26" i="1"/>
  <c r="G32" i="1" l="1"/>
  <c r="H32" i="1"/>
  <c r="G31" i="1"/>
  <c r="H31" i="1"/>
  <c r="G29" i="1"/>
  <c r="H29" i="1"/>
  <c r="H33" i="1"/>
  <c r="G33" i="1"/>
  <c r="G34" i="1"/>
  <c r="H34" i="1"/>
  <c r="G30" i="1"/>
  <c r="H30" i="1"/>
  <c r="G28" i="1"/>
  <c r="H28" i="1"/>
  <c r="Q36" i="1"/>
  <c r="P35" i="1"/>
  <c r="P36" i="1"/>
  <c r="O35" i="1"/>
  <c r="P37" i="1"/>
  <c r="Q35" i="1"/>
  <c r="O37" i="1"/>
  <c r="Q37" i="1"/>
  <c r="O36" i="1"/>
  <c r="I17" i="58"/>
  <c r="Q38" i="1"/>
  <c r="I17" i="55"/>
  <c r="O38" i="1"/>
  <c r="N37" i="1"/>
  <c r="M37" i="1" s="1"/>
  <c r="L37" i="1" s="1"/>
  <c r="N35" i="1"/>
  <c r="M35" i="1" s="1"/>
  <c r="L35" i="1" s="1"/>
  <c r="N36" i="1"/>
  <c r="M36" i="1" s="1"/>
  <c r="L36" i="1" s="1"/>
  <c r="I17" i="56"/>
  <c r="P38" i="1"/>
  <c r="I17" i="54"/>
  <c r="N38" i="1"/>
  <c r="M38" i="1" s="1"/>
  <c r="L38" i="1" s="1"/>
  <c r="K37" i="1"/>
  <c r="J37" i="1" l="1"/>
  <c r="G37" i="1" s="1"/>
  <c r="K36" i="1"/>
  <c r="I17" i="52"/>
  <c r="H37" i="1" l="1"/>
  <c r="J36" i="1"/>
  <c r="H36" i="1" s="1"/>
  <c r="K38" i="1"/>
  <c r="G36" i="1" l="1"/>
  <c r="J38" i="1"/>
  <c r="H38" i="1" s="1"/>
  <c r="K35" i="1"/>
  <c r="G38" i="1" l="1"/>
  <c r="J35" i="1"/>
  <c r="G35" i="1" s="1"/>
  <c r="M16" i="1" s="1"/>
  <c r="H35" i="1"/>
  <c r="M15" i="1" l="1"/>
  <c r="M14" i="1"/>
  <c r="M17" i="1"/>
  <c r="M19" i="1"/>
  <c r="M18" i="1"/>
</calcChain>
</file>

<file path=xl/sharedStrings.xml><?xml version="1.0" encoding="utf-8"?>
<sst xmlns="http://schemas.openxmlformats.org/spreadsheetml/2006/main" count="201" uniqueCount="105">
  <si>
    <t>Final Mark</t>
  </si>
  <si>
    <t>Student Name</t>
  </si>
  <si>
    <t>Student Number</t>
  </si>
  <si>
    <t>Student Surname</t>
  </si>
  <si>
    <t>Final Exam (%)</t>
  </si>
  <si>
    <t>Totals:</t>
  </si>
  <si>
    <t>Test Name:</t>
  </si>
  <si>
    <t>Deductions</t>
  </si>
  <si>
    <t>Final Percentage</t>
  </si>
  <si>
    <t>Final Mark (%)</t>
  </si>
  <si>
    <t>Final Mark (Before Deductions)</t>
  </si>
  <si>
    <t>Percentage of Final Mark:</t>
  </si>
  <si>
    <t>Date:</t>
  </si>
  <si>
    <t>Lecturer:</t>
  </si>
  <si>
    <t>Subject Code:</t>
  </si>
  <si>
    <t>Subject:</t>
  </si>
  <si>
    <t>80-100%</t>
  </si>
  <si>
    <t>75-79%</t>
  </si>
  <si>
    <t>70-74%</t>
  </si>
  <si>
    <t>65-69%</t>
  </si>
  <si>
    <t>60-64%</t>
  </si>
  <si>
    <t>55-59%</t>
  </si>
  <si>
    <t>50-54%</t>
  </si>
  <si>
    <t>45-49%</t>
  </si>
  <si>
    <t># of students</t>
  </si>
  <si>
    <t>Grade</t>
  </si>
  <si>
    <t>% Range</t>
  </si>
  <si>
    <t># of passes:</t>
  </si>
  <si>
    <t># of fails:</t>
  </si>
  <si>
    <t>0-39%</t>
  </si>
  <si>
    <t>40-44%</t>
  </si>
  <si>
    <t>A</t>
  </si>
  <si>
    <t>C</t>
  </si>
  <si>
    <t>B+</t>
  </si>
  <si>
    <t>C+</t>
  </si>
  <si>
    <t>C-</t>
  </si>
  <si>
    <t>D</t>
  </si>
  <si>
    <t>B-</t>
  </si>
  <si>
    <t>F</t>
  </si>
  <si>
    <t>Supp. Exams:</t>
  </si>
  <si>
    <t>Range:</t>
  </si>
  <si>
    <t>Average:</t>
  </si>
  <si>
    <t>Std Deviation:</t>
  </si>
  <si>
    <t>Exam Subminimum:</t>
  </si>
  <si>
    <t>Pass?</t>
  </si>
  <si>
    <t>Supp. Exam</t>
  </si>
  <si>
    <t>Final Mark Sup. Threshold:</t>
  </si>
  <si>
    <t>Exam Sup. Threshold:</t>
  </si>
  <si>
    <t>Final Mark Subminimum:</t>
  </si>
  <si>
    <t>Semester Work Mark</t>
  </si>
  <si>
    <t>B</t>
  </si>
  <si>
    <t>Number of Students:</t>
  </si>
  <si>
    <t>Number of Tests:</t>
  </si>
  <si>
    <t>Totals Marks:</t>
  </si>
  <si>
    <t>Semester Work (%)</t>
  </si>
  <si>
    <t xml:space="preserve">Section 1 </t>
  </si>
  <si>
    <t xml:space="preserve">Section 2 </t>
  </si>
  <si>
    <t>Section 3</t>
  </si>
  <si>
    <t>Section 4</t>
  </si>
  <si>
    <t>Section 5</t>
  </si>
  <si>
    <t>Section 6</t>
  </si>
  <si>
    <t>Section 7</t>
  </si>
  <si>
    <t>Section 8</t>
  </si>
  <si>
    <t>Section 9</t>
  </si>
  <si>
    <t>Section 10</t>
  </si>
  <si>
    <t>Set the # of students you have in your class</t>
  </si>
  <si>
    <t>Set the # of tests/assignments you have</t>
  </si>
  <si>
    <t>Some helpful instructions</t>
  </si>
  <si>
    <t>Minimum final mark to pass the course</t>
  </si>
  <si>
    <t>Minimum final mark to write the sup. exam</t>
  </si>
  <si>
    <t>Minimum exam mark to write the sup. exam</t>
  </si>
  <si>
    <t>Minimum exam mark to pass the course</t>
  </si>
  <si>
    <t>Rubric:</t>
  </si>
  <si>
    <t xml:space="preserve">Example rubric for section 1 </t>
  </si>
  <si>
    <t>Test Subminimum:</t>
  </si>
  <si>
    <t>If this assessment does not have a subminimum, leave this as 0%</t>
  </si>
  <si>
    <t>Example</t>
  </si>
  <si>
    <t>Student</t>
  </si>
  <si>
    <t>01234</t>
  </si>
  <si>
    <t>Diligent</t>
  </si>
  <si>
    <t>Failing</t>
  </si>
  <si>
    <t>54321</t>
  </si>
  <si>
    <t>13450</t>
  </si>
  <si>
    <t>05020</t>
  </si>
  <si>
    <t>I Am</t>
  </si>
  <si>
    <t>Just</t>
  </si>
  <si>
    <t>Passing</t>
  </si>
  <si>
    <t>Getting A</t>
  </si>
  <si>
    <t>Supp</t>
  </si>
  <si>
    <r>
      <t>Stude</t>
    </r>
    <r>
      <rPr>
        <sz val="11"/>
        <color rgb="FF333333"/>
        <rFont val="Calibri"/>
        <family val="2"/>
        <scheme val="minor"/>
      </rPr>
      <t>nt</t>
    </r>
  </si>
  <si>
    <t>60254</t>
  </si>
  <si>
    <t>Also Getting</t>
  </si>
  <si>
    <t>A Supp</t>
  </si>
  <si>
    <t>01010</t>
  </si>
  <si>
    <t>Invalid</t>
  </si>
  <si>
    <t>Mark</t>
  </si>
  <si>
    <t>Missing</t>
  </si>
  <si>
    <t>98350</t>
  </si>
  <si>
    <t>10425</t>
  </si>
  <si>
    <t>Another Invalid</t>
  </si>
  <si>
    <t>54263</t>
  </si>
  <si>
    <t>Invalid &amp; missing</t>
  </si>
  <si>
    <t>Marks</t>
  </si>
  <si>
    <t>96452</t>
  </si>
  <si>
    <t>A+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</si>
</sst>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00000000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rgb="FF333333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rgb="FFABF34B"/>
        <bgColor indexed="64"/>
      </patternFill>
    </fill>
    <fill>
      <patternFill patternType="solid">
        <fgColor rgb="FFDFF34B"/>
        <bgColor indexed="64"/>
      </patternFill>
    </fill>
    <fill>
      <patternFill patternType="solid">
        <fgColor rgb="FFF3EB4B"/>
        <bgColor indexed="64"/>
      </patternFill>
    </fill>
    <fill>
      <patternFill patternType="solid">
        <fgColor rgb="FFF3AB4B"/>
        <bgColor indexed="64"/>
      </patternFill>
    </fill>
    <fill>
      <patternFill patternType="solid">
        <fgColor rgb="FFF36B4B"/>
        <bgColor indexed="64"/>
      </patternFill>
    </fill>
    <fill>
      <patternFill patternType="solid">
        <fgColor theme="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0" fontId="1" fillId="4" borderId="15" applyNumberFormat="0" applyFont="0" applyAlignment="0" applyProtection="0"/>
    <xf numFmtId="0" fontId="6" fillId="5" borderId="0" applyNumberFormat="0" applyBorder="0" applyAlignment="0" applyProtection="0"/>
    <xf numFmtId="0" fontId="1" fillId="6" borderId="0" applyNumberFormat="0" applyBorder="0" applyAlignment="0" applyProtection="0"/>
    <xf numFmtId="0" fontId="1" fillId="7" borderId="0" applyNumberFormat="0" applyBorder="0" applyAlignment="0" applyProtection="0"/>
  </cellStyleXfs>
  <cellXfs count="126">
    <xf numFmtId="0" fontId="0" fillId="0" borderId="0" xfId="0"/>
    <xf numFmtId="0" fontId="2" fillId="0" borderId="7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Font="1" applyAlignment="1">
      <alignment horizontal="center"/>
    </xf>
    <xf numFmtId="9" fontId="0" fillId="0" borderId="0" xfId="1" applyFont="1" applyAlignment="1">
      <alignment horizontal="center"/>
    </xf>
    <xf numFmtId="0" fontId="0" fillId="0" borderId="0" xfId="0" applyAlignment="1">
      <alignment horizontal="center"/>
    </xf>
    <xf numFmtId="9" fontId="2" fillId="0" borderId="0" xfId="1" applyFont="1" applyAlignment="1">
      <alignment horizontal="center"/>
    </xf>
    <xf numFmtId="0" fontId="2" fillId="0" borderId="0" xfId="0" applyFont="1" applyAlignment="1">
      <alignment horizontal="center"/>
    </xf>
    <xf numFmtId="9" fontId="0" fillId="0" borderId="0" xfId="1" applyFont="1" applyAlignment="1">
      <alignment horizontal="center" vertical="center"/>
    </xf>
    <xf numFmtId="0" fontId="0" fillId="0" borderId="0" xfId="0" applyAlignment="1">
      <alignment horizontal="center" vertical="center"/>
    </xf>
    <xf numFmtId="9" fontId="2" fillId="0" borderId="0" xfId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1" applyNumberFormat="1" applyFont="1" applyAlignment="1">
      <alignment horizontal="center" vertical="center"/>
    </xf>
    <xf numFmtId="0" fontId="4" fillId="0" borderId="0" xfId="1" applyNumberFormat="1" applyFont="1" applyAlignment="1">
      <alignment horizontal="right"/>
    </xf>
    <xf numFmtId="0" fontId="3" fillId="0" borderId="0" xfId="1" applyNumberFormat="1" applyFont="1" applyAlignment="1">
      <alignment horizontal="center"/>
    </xf>
    <xf numFmtId="0" fontId="3" fillId="0" borderId="0" xfId="1" applyNumberFormat="1" applyFont="1" applyAlignment="1">
      <alignment horizontal="center" vertical="center"/>
    </xf>
    <xf numFmtId="9" fontId="3" fillId="0" borderId="0" xfId="1" applyFont="1" applyAlignment="1">
      <alignment horizontal="center"/>
    </xf>
    <xf numFmtId="0" fontId="0" fillId="0" borderId="0" xfId="1" applyNumberFormat="1" applyFont="1" applyAlignment="1">
      <alignment horizontal="center" vertical="center"/>
    </xf>
    <xf numFmtId="10" fontId="0" fillId="0" borderId="0" xfId="1" applyNumberFormat="1" applyFont="1" applyAlignment="1">
      <alignment horizontal="center"/>
    </xf>
    <xf numFmtId="0" fontId="0" fillId="0" borderId="0" xfId="1" applyNumberFormat="1" applyFont="1" applyAlignment="1">
      <alignment horizontal="center"/>
    </xf>
    <xf numFmtId="0" fontId="0" fillId="0" borderId="0" xfId="1" applyNumberFormat="1" applyFont="1" applyBorder="1" applyAlignment="1">
      <alignment horizontal="center"/>
    </xf>
    <xf numFmtId="0" fontId="2" fillId="0" borderId="0" xfId="0" applyFont="1" applyAlignment="1">
      <alignment horizontal="right"/>
    </xf>
    <xf numFmtId="9" fontId="2" fillId="2" borderId="2" xfId="1" applyFont="1" applyFill="1" applyBorder="1" applyAlignment="1">
      <alignment horizontal="center"/>
    </xf>
    <xf numFmtId="10" fontId="5" fillId="0" borderId="0" xfId="1" applyNumberFormat="1" applyFont="1" applyBorder="1" applyAlignment="1">
      <alignment horizontal="center"/>
    </xf>
    <xf numFmtId="0" fontId="0" fillId="0" borderId="0" xfId="1" applyNumberFormat="1" applyFont="1" applyBorder="1" applyAlignment="1">
      <alignment horizontal="center" vertical="center"/>
    </xf>
    <xf numFmtId="0" fontId="2" fillId="2" borderId="12" xfId="0" applyFont="1" applyFill="1" applyBorder="1" applyAlignment="1">
      <alignment horizontal="right"/>
    </xf>
    <xf numFmtId="0" fontId="2" fillId="2" borderId="12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9" fontId="0" fillId="0" borderId="0" xfId="1" applyFont="1" applyBorder="1" applyAlignment="1">
      <alignment horizontal="center" vertical="center"/>
    </xf>
    <xf numFmtId="0" fontId="2" fillId="3" borderId="12" xfId="0" applyFont="1" applyFill="1" applyBorder="1" applyAlignment="1">
      <alignment horizontal="right"/>
    </xf>
    <xf numFmtId="0" fontId="2" fillId="3" borderId="12" xfId="0" applyFont="1" applyFill="1" applyBorder="1" applyAlignment="1">
      <alignment horizontal="center"/>
    </xf>
    <xf numFmtId="0" fontId="2" fillId="3" borderId="2" xfId="0" applyFont="1" applyFill="1" applyBorder="1" applyAlignment="1">
      <alignment horizontal="center"/>
    </xf>
    <xf numFmtId="0" fontId="2" fillId="3" borderId="2" xfId="0" applyNumberFormat="1" applyFont="1" applyFill="1" applyBorder="1" applyAlignment="1">
      <alignment horizontal="center"/>
    </xf>
    <xf numFmtId="46" fontId="0" fillId="0" borderId="0" xfId="0" applyNumberFormat="1"/>
    <xf numFmtId="0" fontId="3" fillId="0" borderId="0" xfId="1" applyNumberFormat="1" applyFont="1" applyBorder="1" applyAlignment="1">
      <alignment horizontal="center"/>
    </xf>
    <xf numFmtId="0" fontId="0" fillId="0" borderId="0" xfId="0" applyAlignment="1"/>
    <xf numFmtId="0" fontId="0" fillId="0" borderId="0" xfId="0" applyBorder="1"/>
    <xf numFmtId="0" fontId="0" fillId="0" borderId="11" xfId="0" applyBorder="1" applyAlignment="1"/>
    <xf numFmtId="0" fontId="1" fillId="7" borderId="7" xfId="5" applyBorder="1" applyAlignment="1">
      <alignment horizontal="right"/>
    </xf>
    <xf numFmtId="9" fontId="1" fillId="7" borderId="7" xfId="5" applyNumberFormat="1" applyBorder="1" applyAlignment="1">
      <alignment horizontal="center" vertical="center"/>
    </xf>
    <xf numFmtId="0" fontId="1" fillId="7" borderId="8" xfId="5" applyBorder="1" applyAlignment="1">
      <alignment horizontal="right"/>
    </xf>
    <xf numFmtId="9" fontId="1" fillId="7" borderId="8" xfId="5" applyNumberFormat="1" applyBorder="1" applyAlignment="1">
      <alignment horizontal="center" vertical="center"/>
    </xf>
    <xf numFmtId="0" fontId="1" fillId="6" borderId="8" xfId="4" applyBorder="1" applyAlignment="1">
      <alignment horizontal="right"/>
    </xf>
    <xf numFmtId="9" fontId="1" fillId="6" borderId="8" xfId="4" applyNumberFormat="1" applyBorder="1" applyAlignment="1">
      <alignment horizontal="center" vertical="center"/>
    </xf>
    <xf numFmtId="0" fontId="1" fillId="6" borderId="6" xfId="4" applyBorder="1" applyAlignment="1">
      <alignment horizontal="right"/>
    </xf>
    <xf numFmtId="9" fontId="1" fillId="6" borderId="6" xfId="4" applyNumberFormat="1" applyBorder="1" applyAlignment="1">
      <alignment horizontal="center" vertical="center"/>
    </xf>
    <xf numFmtId="0" fontId="6" fillId="5" borderId="12" xfId="3" applyBorder="1" applyAlignment="1">
      <alignment horizontal="center"/>
    </xf>
    <xf numFmtId="0" fontId="6" fillId="5" borderId="3" xfId="3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9" borderId="11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2" borderId="11" xfId="0" applyFill="1" applyBorder="1" applyAlignment="1">
      <alignment horizontal="center"/>
    </xf>
    <xf numFmtId="0" fontId="0" fillId="8" borderId="18" xfId="0" applyFill="1" applyBorder="1" applyAlignment="1">
      <alignment horizontal="center"/>
    </xf>
    <xf numFmtId="0" fontId="0" fillId="8" borderId="19" xfId="0" applyFill="1" applyBorder="1" applyAlignment="1">
      <alignment horizontal="center"/>
    </xf>
    <xf numFmtId="0" fontId="0" fillId="9" borderId="19" xfId="0" applyFill="1" applyBorder="1" applyAlignment="1">
      <alignment horizontal="center"/>
    </xf>
    <xf numFmtId="0" fontId="0" fillId="10" borderId="19" xfId="0" applyFill="1" applyBorder="1" applyAlignment="1">
      <alignment horizontal="center"/>
    </xf>
    <xf numFmtId="0" fontId="0" fillId="11" borderId="19" xfId="0" applyFill="1" applyBorder="1" applyAlignment="1">
      <alignment horizontal="center"/>
    </xf>
    <xf numFmtId="0" fontId="0" fillId="12" borderId="20" xfId="0" applyFill="1" applyBorder="1" applyAlignment="1">
      <alignment horizontal="center"/>
    </xf>
    <xf numFmtId="0" fontId="1" fillId="6" borderId="11" xfId="4" applyBorder="1" applyAlignment="1">
      <alignment horizontal="center"/>
    </xf>
    <xf numFmtId="0" fontId="1" fillId="6" borderId="13" xfId="4" applyBorder="1" applyAlignment="1">
      <alignment horizontal="center"/>
    </xf>
    <xf numFmtId="10" fontId="1" fillId="6" borderId="11" xfId="4" applyNumberFormat="1" applyBorder="1" applyAlignment="1">
      <alignment horizontal="center"/>
    </xf>
    <xf numFmtId="10" fontId="1" fillId="6" borderId="5" xfId="4" applyNumberFormat="1" applyBorder="1" applyAlignment="1">
      <alignment horizontal="center"/>
    </xf>
    <xf numFmtId="0" fontId="2" fillId="7" borderId="12" xfId="5" applyFont="1" applyBorder="1" applyAlignment="1">
      <alignment horizontal="center"/>
    </xf>
    <xf numFmtId="0" fontId="2" fillId="7" borderId="2" xfId="5" applyFont="1" applyBorder="1" applyAlignment="1">
      <alignment horizontal="center"/>
    </xf>
    <xf numFmtId="0" fontId="2" fillId="7" borderId="2" xfId="5" applyNumberFormat="1" applyFont="1" applyBorder="1" applyAlignment="1">
      <alignment horizontal="center"/>
    </xf>
    <xf numFmtId="0" fontId="1" fillId="7" borderId="3" xfId="5" applyBorder="1"/>
    <xf numFmtId="0" fontId="1" fillId="6" borderId="5" xfId="4" applyBorder="1"/>
    <xf numFmtId="0" fontId="1" fillId="7" borderId="5" xfId="5" applyBorder="1"/>
    <xf numFmtId="0" fontId="2" fillId="3" borderId="2" xfId="1" applyNumberFormat="1" applyFont="1" applyFill="1" applyBorder="1" applyAlignment="1">
      <alignment horizontal="center"/>
    </xf>
    <xf numFmtId="0" fontId="2" fillId="7" borderId="34" xfId="5" applyFont="1" applyBorder="1" applyAlignment="1">
      <alignment horizontal="center"/>
    </xf>
    <xf numFmtId="9" fontId="2" fillId="2" borderId="34" xfId="1" applyFont="1" applyFill="1" applyBorder="1" applyAlignment="1">
      <alignment horizontal="center"/>
    </xf>
    <xf numFmtId="9" fontId="2" fillId="3" borderId="34" xfId="1" applyFont="1" applyFill="1" applyBorder="1" applyAlignment="1">
      <alignment horizontal="center"/>
    </xf>
    <xf numFmtId="0" fontId="0" fillId="0" borderId="0" xfId="4" applyNumberFormat="1" applyFont="1" applyFill="1" applyAlignment="1">
      <alignment horizontal="center" vertical="center"/>
    </xf>
    <xf numFmtId="0" fontId="1" fillId="0" borderId="0" xfId="4" applyFill="1" applyBorder="1" applyAlignment="1">
      <alignment horizontal="center"/>
    </xf>
    <xf numFmtId="0" fontId="1" fillId="0" borderId="0" xfId="4" applyNumberFormat="1" applyFill="1" applyBorder="1" applyAlignment="1">
      <alignment horizontal="center"/>
    </xf>
    <xf numFmtId="0" fontId="4" fillId="2" borderId="1" xfId="1" applyNumberFormat="1" applyFont="1" applyFill="1" applyBorder="1" applyAlignment="1">
      <alignment horizontal="right"/>
    </xf>
    <xf numFmtId="0" fontId="3" fillId="2" borderId="2" xfId="1" applyNumberFormat="1" applyFont="1" applyFill="1" applyBorder="1" applyAlignment="1">
      <alignment horizontal="center"/>
    </xf>
    <xf numFmtId="9" fontId="3" fillId="2" borderId="2" xfId="1" applyFont="1" applyFill="1" applyBorder="1" applyAlignment="1">
      <alignment horizontal="center"/>
    </xf>
    <xf numFmtId="0" fontId="3" fillId="2" borderId="1" xfId="1" applyNumberFormat="1" applyFont="1" applyFill="1" applyBorder="1" applyAlignment="1">
      <alignment horizontal="center" vertical="center"/>
    </xf>
    <xf numFmtId="0" fontId="3" fillId="2" borderId="12" xfId="1" applyNumberFormat="1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9" fontId="2" fillId="7" borderId="2" xfId="5" applyNumberFormat="1" applyFont="1" applyBorder="1" applyAlignment="1">
      <alignment horizontal="center"/>
    </xf>
    <xf numFmtId="0" fontId="2" fillId="7" borderId="2" xfId="5" applyNumberFormat="1" applyFont="1" applyBorder="1" applyAlignment="1">
      <alignment horizontal="center" vertical="center"/>
    </xf>
    <xf numFmtId="9" fontId="2" fillId="7" borderId="1" xfId="5" applyNumberFormat="1" applyFont="1" applyBorder="1" applyAlignment="1">
      <alignment horizontal="center" vertical="center"/>
    </xf>
    <xf numFmtId="0" fontId="2" fillId="7" borderId="14" xfId="5" applyNumberFormat="1" applyFont="1" applyBorder="1" applyAlignment="1">
      <alignment horizontal="center" vertical="center"/>
    </xf>
    <xf numFmtId="0" fontId="2" fillId="7" borderId="14" xfId="5" applyFont="1" applyBorder="1" applyAlignment="1">
      <alignment horizontal="center" vertical="center"/>
    </xf>
    <xf numFmtId="0" fontId="2" fillId="7" borderId="2" xfId="5" applyFont="1" applyBorder="1" applyAlignment="1">
      <alignment horizontal="center" vertical="center"/>
    </xf>
    <xf numFmtId="49" fontId="0" fillId="0" borderId="0" xfId="4" applyNumberFormat="1" applyFont="1" applyFill="1" applyBorder="1" applyAlignment="1">
      <alignment horizontal="center" vertical="center"/>
    </xf>
    <xf numFmtId="10" fontId="1" fillId="0" borderId="0" xfId="4" applyNumberFormat="1" applyFill="1" applyBorder="1" applyAlignment="1">
      <alignment horizontal="center"/>
    </xf>
    <xf numFmtId="0" fontId="0" fillId="7" borderId="5" xfId="5" applyFont="1" applyBorder="1"/>
    <xf numFmtId="0" fontId="0" fillId="6" borderId="5" xfId="4" applyFont="1" applyBorder="1"/>
    <xf numFmtId="0" fontId="0" fillId="0" borderId="12" xfId="0" applyBorder="1" applyAlignment="1">
      <alignment horizontal="center" vertical="center" wrapText="1"/>
    </xf>
    <xf numFmtId="0" fontId="0" fillId="0" borderId="35" xfId="0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7" fillId="0" borderId="1" xfId="1" applyNumberFormat="1" applyFont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10" fontId="2" fillId="2" borderId="2" xfId="1" applyNumberFormat="1" applyFont="1" applyFill="1" applyBorder="1" applyAlignment="1">
      <alignment horizontal="center"/>
    </xf>
    <xf numFmtId="0" fontId="2" fillId="7" borderId="38" xfId="5" applyFont="1" applyBorder="1" applyAlignment="1">
      <alignment horizontal="center"/>
    </xf>
    <xf numFmtId="9" fontId="2" fillId="2" borderId="38" xfId="1" applyFont="1" applyFill="1" applyBorder="1" applyAlignment="1">
      <alignment horizontal="center"/>
    </xf>
    <xf numFmtId="0" fontId="2" fillId="3" borderId="38" xfId="0" applyFont="1" applyFill="1" applyBorder="1" applyAlignment="1">
      <alignment horizontal="center"/>
    </xf>
    <xf numFmtId="0" fontId="0" fillId="0" borderId="0" xfId="4" applyNumberFormat="1" applyFont="1" applyFill="1" applyBorder="1" applyAlignment="1">
      <alignment horizontal="center" vertical="center"/>
    </xf>
    <xf numFmtId="9" fontId="0" fillId="0" borderId="0" xfId="1" applyFont="1"/>
    <xf numFmtId="164" fontId="0" fillId="0" borderId="0" xfId="0" applyNumberFormat="1"/>
    <xf numFmtId="0" fontId="0" fillId="13" borderId="28" xfId="2" applyFont="1" applyFill="1" applyBorder="1" applyAlignment="1">
      <alignment horizontal="center" vertical="center"/>
    </xf>
    <xf numFmtId="0" fontId="0" fillId="13" borderId="29" xfId="2" applyFont="1" applyFill="1" applyBorder="1" applyAlignment="1">
      <alignment horizontal="center" vertical="center"/>
    </xf>
    <xf numFmtId="0" fontId="0" fillId="13" borderId="30" xfId="2" applyFont="1" applyFill="1" applyBorder="1" applyAlignment="1">
      <alignment horizontal="center" vertical="center"/>
    </xf>
    <xf numFmtId="0" fontId="0" fillId="13" borderId="26" xfId="2" applyFont="1" applyFill="1" applyBorder="1" applyAlignment="1">
      <alignment horizontal="center" vertical="center"/>
    </xf>
    <xf numFmtId="0" fontId="0" fillId="13" borderId="16" xfId="2" applyFont="1" applyFill="1" applyBorder="1" applyAlignment="1">
      <alignment horizontal="center" vertical="center"/>
    </xf>
    <xf numFmtId="0" fontId="0" fillId="13" borderId="27" xfId="2" applyFont="1" applyFill="1" applyBorder="1" applyAlignment="1">
      <alignment horizontal="center" vertical="center"/>
    </xf>
    <xf numFmtId="0" fontId="2" fillId="13" borderId="21" xfId="2" applyFont="1" applyFill="1" applyBorder="1" applyAlignment="1">
      <alignment horizontal="center" vertical="center"/>
    </xf>
    <xf numFmtId="0" fontId="2" fillId="13" borderId="22" xfId="2" applyFont="1" applyFill="1" applyBorder="1" applyAlignment="1">
      <alignment horizontal="center" vertical="center"/>
    </xf>
    <xf numFmtId="0" fontId="2" fillId="13" borderId="23" xfId="2" applyFont="1" applyFill="1" applyBorder="1" applyAlignment="1">
      <alignment horizontal="center" vertical="center"/>
    </xf>
    <xf numFmtId="0" fontId="2" fillId="13" borderId="24" xfId="2" applyFont="1" applyFill="1" applyBorder="1" applyAlignment="1">
      <alignment horizontal="center" vertical="center"/>
    </xf>
    <xf numFmtId="0" fontId="2" fillId="13" borderId="17" xfId="2" applyFont="1" applyFill="1" applyBorder="1" applyAlignment="1">
      <alignment horizontal="center" vertical="center"/>
    </xf>
    <xf numFmtId="0" fontId="2" fillId="13" borderId="25" xfId="2" applyFont="1" applyFill="1" applyBorder="1" applyAlignment="1">
      <alignment horizontal="center" vertical="center"/>
    </xf>
    <xf numFmtId="0" fontId="0" fillId="13" borderId="31" xfId="2" applyFont="1" applyFill="1" applyBorder="1" applyAlignment="1">
      <alignment horizontal="center" vertical="center"/>
    </xf>
    <xf numFmtId="0" fontId="0" fillId="13" borderId="32" xfId="2" applyFont="1" applyFill="1" applyBorder="1" applyAlignment="1">
      <alignment horizontal="center" vertical="center"/>
    </xf>
    <xf numFmtId="0" fontId="0" fillId="13" borderId="33" xfId="2" applyFont="1" applyFill="1" applyBorder="1" applyAlignment="1">
      <alignment horizontal="center" vertical="center"/>
    </xf>
    <xf numFmtId="0" fontId="1" fillId="7" borderId="9" xfId="5" applyBorder="1" applyAlignment="1">
      <alignment horizontal="center"/>
    </xf>
    <xf numFmtId="0" fontId="1" fillId="7" borderId="5" xfId="5" applyBorder="1" applyAlignment="1">
      <alignment horizontal="center"/>
    </xf>
    <xf numFmtId="0" fontId="1" fillId="7" borderId="10" xfId="5" applyBorder="1" applyAlignment="1">
      <alignment horizontal="center"/>
    </xf>
    <xf numFmtId="0" fontId="1" fillId="7" borderId="13" xfId="5" applyBorder="1" applyAlignment="1">
      <alignment horizontal="center"/>
    </xf>
    <xf numFmtId="0" fontId="1" fillId="7" borderId="4" xfId="5" applyBorder="1" applyAlignment="1">
      <alignment horizontal="center"/>
    </xf>
    <xf numFmtId="0" fontId="1" fillId="7" borderId="11" xfId="5" applyBorder="1" applyAlignment="1">
      <alignment horizontal="center"/>
    </xf>
    <xf numFmtId="0" fontId="0" fillId="0" borderId="37" xfId="0" applyBorder="1" applyAlignment="1">
      <alignment horizontal="center" vertical="center" wrapText="1"/>
    </xf>
  </cellXfs>
  <cellStyles count="6">
    <cellStyle name="20% - Accent1" xfId="4" builtinId="30"/>
    <cellStyle name="40% - Accent1" xfId="5" builtinId="31"/>
    <cellStyle name="Accent1" xfId="3" builtinId="29"/>
    <cellStyle name="Normal" xfId="0" builtinId="0"/>
    <cellStyle name="Note" xfId="2" builtinId="10"/>
    <cellStyle name="Percent" xfId="1" builtinId="5"/>
  </cellStyles>
  <dxfs count="154"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ABF34B"/>
        </patternFill>
      </fill>
    </dxf>
    <dxf>
      <fill>
        <patternFill>
          <bgColor rgb="FFF36B4B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7D471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7D471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AB4B"/>
        </patternFill>
      </fill>
    </dxf>
    <dxf>
      <fill>
        <patternFill>
          <bgColor rgb="FFF36B4B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DD051"/>
        </patternFill>
      </fill>
    </dxf>
    <dxf>
      <fill>
        <patternFill>
          <bgColor rgb="FFF46152"/>
        </patternFill>
      </fill>
    </dxf>
    <dxf>
      <fill>
        <patternFill>
          <bgColor rgb="FFF46152"/>
        </patternFill>
      </fill>
    </dxf>
    <dxf>
      <fill>
        <patternFill>
          <bgColor rgb="FFC1F484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46152"/>
        </patternFill>
      </fill>
    </dxf>
    <dxf>
      <fill>
        <patternFill>
          <bgColor rgb="FFF7D470"/>
        </patternFill>
      </fill>
    </dxf>
    <dxf>
      <fill>
        <patternFill>
          <bgColor rgb="FFF7D471"/>
        </patternFill>
      </fill>
    </dxf>
    <dxf>
      <fill>
        <patternFill>
          <bgColor rgb="FFABF34B"/>
        </patternFill>
      </fill>
    </dxf>
    <dxf>
      <fill>
        <patternFill>
          <bgColor rgb="FFABF34B"/>
        </patternFill>
      </fill>
    </dxf>
    <dxf>
      <fill>
        <patternFill>
          <bgColor rgb="FFDFF34B"/>
        </patternFill>
      </fill>
    </dxf>
    <dxf>
      <fill>
        <patternFill>
          <bgColor rgb="FFDFF34B"/>
        </patternFill>
      </fill>
    </dxf>
    <dxf>
      <fill>
        <patternFill>
          <bgColor rgb="FFF3EB4B"/>
        </patternFill>
      </fill>
    </dxf>
    <dxf>
      <fill>
        <patternFill>
          <bgColor rgb="FFF3EB4B"/>
        </patternFill>
      </fill>
    </dxf>
  </dxfs>
  <tableStyles count="0" defaultTableStyle="TableStyleMedium2" defaultPivotStyle="PivotStyleMedium9"/>
  <colors>
    <mruColors>
      <color rgb="FFF46152"/>
      <color rgb="FFF3EB4B"/>
      <color rgb="FFDFEB4B"/>
      <color rgb="FFDFF34B"/>
      <color rgb="FFEBF34B"/>
      <color rgb="FFABF34B"/>
      <color rgb="FF8DF34B"/>
      <color rgb="FFF7D470"/>
      <color rgb="FFF36B4B"/>
      <color rgb="FFFF66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85725</xdr:colOff>
      <xdr:row>9</xdr:row>
      <xdr:rowOff>38100</xdr:rowOff>
    </xdr:from>
    <xdr:to>
      <xdr:col>4</xdr:col>
      <xdr:colOff>1247775</xdr:colOff>
      <xdr:row>9</xdr:row>
      <xdr:rowOff>171451</xdr:rowOff>
    </xdr:to>
    <xdr:sp macro="" textlink="">
      <xdr:nvSpPr>
        <xdr:cNvPr id="4" name="Left Arrow 3"/>
        <xdr:cNvSpPr/>
      </xdr:nvSpPr>
      <xdr:spPr>
        <a:xfrm>
          <a:off x="4086225" y="1828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10</xdr:row>
      <xdr:rowOff>38100</xdr:rowOff>
    </xdr:from>
    <xdr:to>
      <xdr:col>4</xdr:col>
      <xdr:colOff>1247775</xdr:colOff>
      <xdr:row>10</xdr:row>
      <xdr:rowOff>171451</xdr:rowOff>
    </xdr:to>
    <xdr:sp macro="" textlink="">
      <xdr:nvSpPr>
        <xdr:cNvPr id="5" name="Left Arrow 4"/>
        <xdr:cNvSpPr/>
      </xdr:nvSpPr>
      <xdr:spPr>
        <a:xfrm>
          <a:off x="4086225" y="2019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11</xdr:row>
      <xdr:rowOff>38100</xdr:rowOff>
    </xdr:from>
    <xdr:to>
      <xdr:col>4</xdr:col>
      <xdr:colOff>1247775</xdr:colOff>
      <xdr:row>11</xdr:row>
      <xdr:rowOff>171451</xdr:rowOff>
    </xdr:to>
    <xdr:sp macro="" textlink="">
      <xdr:nvSpPr>
        <xdr:cNvPr id="6" name="Left Arrow 5"/>
        <xdr:cNvSpPr/>
      </xdr:nvSpPr>
      <xdr:spPr>
        <a:xfrm>
          <a:off x="4086225" y="2209800"/>
          <a:ext cx="1162050" cy="133351"/>
        </a:xfrm>
        <a:prstGeom prst="leftArrow">
          <a:avLst/>
        </a:prstGeom>
        <a:solidFill>
          <a:srgbClr val="55D01E"/>
        </a:solidFill>
        <a:ln>
          <a:solidFill>
            <a:srgbClr val="55D01E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12</xdr:row>
      <xdr:rowOff>38100</xdr:rowOff>
    </xdr:from>
    <xdr:to>
      <xdr:col>4</xdr:col>
      <xdr:colOff>1247775</xdr:colOff>
      <xdr:row>12</xdr:row>
      <xdr:rowOff>171451</xdr:rowOff>
    </xdr:to>
    <xdr:sp macro="" textlink="">
      <xdr:nvSpPr>
        <xdr:cNvPr id="7" name="Left Arrow 6"/>
        <xdr:cNvSpPr/>
      </xdr:nvSpPr>
      <xdr:spPr>
        <a:xfrm>
          <a:off x="4086225" y="2400300"/>
          <a:ext cx="1162050" cy="133351"/>
        </a:xfrm>
        <a:prstGeom prst="leftArrow">
          <a:avLst/>
        </a:prstGeom>
        <a:solidFill>
          <a:srgbClr val="9CEC78"/>
        </a:solidFill>
        <a:ln>
          <a:solidFill>
            <a:srgbClr val="9CEC78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7</xdr:row>
      <xdr:rowOff>38099</xdr:rowOff>
    </xdr:from>
    <xdr:to>
      <xdr:col>4</xdr:col>
      <xdr:colOff>1247775</xdr:colOff>
      <xdr:row>7</xdr:row>
      <xdr:rowOff>171450</xdr:rowOff>
    </xdr:to>
    <xdr:sp macro="" textlink="">
      <xdr:nvSpPr>
        <xdr:cNvPr id="2" name="Left Arrow 1"/>
        <xdr:cNvSpPr/>
      </xdr:nvSpPr>
      <xdr:spPr>
        <a:xfrm>
          <a:off x="4086225" y="1428749"/>
          <a:ext cx="1162050" cy="133351"/>
        </a:xfrm>
        <a:prstGeom prst="leftArrow">
          <a:avLst/>
        </a:prstGeom>
        <a:solidFill>
          <a:schemeClr val="accent1">
            <a:lumMod val="60000"/>
            <a:lumOff val="40000"/>
          </a:schemeClr>
        </a:solidFill>
        <a:ln>
          <a:solidFill>
            <a:schemeClr val="accent1">
              <a:lumMod val="60000"/>
              <a:lumOff val="4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>
    <xdr:from>
      <xdr:col>4</xdr:col>
      <xdr:colOff>85725</xdr:colOff>
      <xdr:row>6</xdr:row>
      <xdr:rowOff>38099</xdr:rowOff>
    </xdr:from>
    <xdr:to>
      <xdr:col>4</xdr:col>
      <xdr:colOff>1247775</xdr:colOff>
      <xdr:row>6</xdr:row>
      <xdr:rowOff>171450</xdr:rowOff>
    </xdr:to>
    <xdr:sp macro="" textlink="">
      <xdr:nvSpPr>
        <xdr:cNvPr id="3" name="Left Arrow 2"/>
        <xdr:cNvSpPr/>
      </xdr:nvSpPr>
      <xdr:spPr>
        <a:xfrm>
          <a:off x="4086225" y="1228724"/>
          <a:ext cx="1162050" cy="133351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  <xdr:twoCellAnchor editAs="oneCell">
    <xdr:from>
      <xdr:col>5</xdr:col>
      <xdr:colOff>15240</xdr:colOff>
      <xdr:row>14</xdr:row>
      <xdr:rowOff>83539</xdr:rowOff>
    </xdr:from>
    <xdr:to>
      <xdr:col>8</xdr:col>
      <xdr:colOff>542924</xdr:colOff>
      <xdr:row>22</xdr:row>
      <xdr:rowOff>123825</xdr:rowOff>
    </xdr:to>
    <xdr:pic>
      <xdr:nvPicPr>
        <xdr:cNvPr id="9" name="Picture 8"/>
        <xdr:cNvPicPr>
          <a:picLocks noChangeAspect="1"/>
        </xdr:cNvPicPr>
      </xdr:nvPicPr>
      <xdr:blipFill rotWithShape="1">
        <a:blip xmlns:r="http://schemas.openxmlformats.org/officeDocument/2006/relationships" r:embed="rId1" cstate="screen">
          <a:extLst>
            <a:ext uri="{28A0092B-C50C-407E-A947-70E740481C1C}">
              <a14:useLocalDpi xmlns:a14="http://schemas.microsoft.com/office/drawing/2010/main"/>
            </a:ext>
          </a:extLst>
        </a:blip>
        <a:srcRect t="11097" b="20250"/>
        <a:stretch/>
      </xdr:blipFill>
      <xdr:spPr>
        <a:xfrm>
          <a:off x="5334000" y="2853409"/>
          <a:ext cx="3255644" cy="1575716"/>
        </a:xfrm>
        <a:prstGeom prst="rect">
          <a:avLst/>
        </a:prstGeom>
        <a:ln w="19050">
          <a:solidFill>
            <a:schemeClr val="tx1"/>
          </a:solidFill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457199</xdr:colOff>
      <xdr:row>3</xdr:row>
      <xdr:rowOff>85727</xdr:rowOff>
    </xdr:from>
    <xdr:to>
      <xdr:col>6</xdr:col>
      <xdr:colOff>561974</xdr:colOff>
      <xdr:row>3</xdr:row>
      <xdr:rowOff>533400</xdr:rowOff>
    </xdr:to>
    <xdr:sp macro="" textlink="">
      <xdr:nvSpPr>
        <xdr:cNvPr id="3" name="Left Arrow 2"/>
        <xdr:cNvSpPr/>
      </xdr:nvSpPr>
      <xdr:spPr>
        <a:xfrm rot="5400000">
          <a:off x="5000625" y="838201"/>
          <a:ext cx="447673" cy="104775"/>
        </a:xfrm>
        <a:prstGeom prst="leftArrow">
          <a:avLst/>
        </a:prstGeom>
        <a:solidFill>
          <a:schemeClr val="accent1"/>
        </a:solidFill>
        <a:ln>
          <a:solidFill>
            <a:schemeClr val="accent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ZA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Q38"/>
  <sheetViews>
    <sheetView tabSelected="1" zoomScaleNormal="100" workbookViewId="0">
      <selection activeCell="D9" sqref="D9"/>
    </sheetView>
  </sheetViews>
  <sheetFormatPr defaultRowHeight="15" x14ac:dyDescent="0.25"/>
  <cols>
    <col min="3" max="3" width="25.28515625" bestFit="1" customWidth="1"/>
    <col min="4" max="4" width="16.42578125" customWidth="1"/>
    <col min="5" max="5" width="19.7109375" customWidth="1"/>
    <col min="6" max="6" width="15.85546875" bestFit="1" customWidth="1"/>
    <col min="7" max="7" width="12.28515625" customWidth="1"/>
    <col min="8" max="8" width="12.7109375" customWidth="1"/>
    <col min="9" max="9" width="8.42578125" bestFit="1" customWidth="1"/>
    <col min="10" max="10" width="15.85546875" customWidth="1"/>
    <col min="11" max="11" width="14.42578125" bestFit="1" customWidth="1"/>
    <col min="12" max="12" width="18.42578125" bestFit="1" customWidth="1"/>
    <col min="13" max="13" width="20" bestFit="1" customWidth="1"/>
    <col min="14" max="15" width="14.42578125" bestFit="1" customWidth="1"/>
    <col min="16" max="16" width="17.28515625" bestFit="1" customWidth="1"/>
    <col min="17" max="17" width="14.42578125" bestFit="1" customWidth="1"/>
  </cols>
  <sheetData>
    <row r="1" spans="3:13" x14ac:dyDescent="0.25">
      <c r="C1" s="33"/>
    </row>
    <row r="2" spans="3:13" ht="15.75" thickBot="1" x14ac:dyDescent="0.3"/>
    <row r="3" spans="3:13" ht="15.75" customHeight="1" thickBot="1" x14ac:dyDescent="0.3">
      <c r="C3" s="38" t="s">
        <v>15</v>
      </c>
      <c r="D3" s="66"/>
      <c r="F3" s="110" t="s">
        <v>67</v>
      </c>
      <c r="G3" s="111"/>
      <c r="H3" s="111"/>
      <c r="I3" s="112"/>
      <c r="J3" s="35"/>
      <c r="K3" s="46" t="s">
        <v>26</v>
      </c>
      <c r="L3" s="47" t="s">
        <v>25</v>
      </c>
      <c r="M3" s="47" t="s">
        <v>24</v>
      </c>
    </row>
    <row r="4" spans="3:13" ht="15.75" thickBot="1" x14ac:dyDescent="0.3">
      <c r="C4" s="42" t="s">
        <v>14</v>
      </c>
      <c r="D4" s="67"/>
      <c r="F4" s="113"/>
      <c r="G4" s="114"/>
      <c r="H4" s="114"/>
      <c r="I4" s="115"/>
      <c r="J4" s="37"/>
      <c r="K4" s="53" t="s">
        <v>16</v>
      </c>
      <c r="L4" s="48" t="s">
        <v>104</v>
      </c>
      <c r="M4" s="59">
        <f t="shared" ref="M4:M13" si="0">COUNTIF(I$28:I$38, "="&amp;L4)</f>
        <v>2</v>
      </c>
    </row>
    <row r="5" spans="3:13" ht="15.75" thickBot="1" x14ac:dyDescent="0.3">
      <c r="C5" s="40" t="s">
        <v>13</v>
      </c>
      <c r="D5" s="68"/>
      <c r="E5" s="36"/>
      <c r="F5" s="113"/>
      <c r="G5" s="114"/>
      <c r="H5" s="114"/>
      <c r="I5" s="115"/>
      <c r="J5" s="37"/>
      <c r="K5" s="54" t="s">
        <v>17</v>
      </c>
      <c r="L5" s="48" t="s">
        <v>31</v>
      </c>
      <c r="M5" s="59">
        <f t="shared" si="0"/>
        <v>0</v>
      </c>
    </row>
    <row r="6" spans="3:13" ht="15.75" thickBot="1" x14ac:dyDescent="0.3">
      <c r="C6" s="42" t="s">
        <v>12</v>
      </c>
      <c r="D6" s="67"/>
      <c r="F6" s="113"/>
      <c r="G6" s="114"/>
      <c r="H6" s="114"/>
      <c r="I6" s="115"/>
      <c r="J6" s="37"/>
      <c r="K6" s="55" t="s">
        <v>18</v>
      </c>
      <c r="L6" s="49" t="s">
        <v>33</v>
      </c>
      <c r="M6" s="59">
        <f t="shared" si="0"/>
        <v>2</v>
      </c>
    </row>
    <row r="7" spans="3:13" ht="15.75" thickBot="1" x14ac:dyDescent="0.3">
      <c r="C7" s="40" t="s">
        <v>51</v>
      </c>
      <c r="D7" s="90">
        <v>11</v>
      </c>
      <c r="F7" s="107" t="s">
        <v>65</v>
      </c>
      <c r="G7" s="108"/>
      <c r="H7" s="108"/>
      <c r="I7" s="109"/>
      <c r="J7" s="35"/>
      <c r="K7" s="55" t="s">
        <v>19</v>
      </c>
      <c r="L7" s="49" t="s">
        <v>50</v>
      </c>
      <c r="M7" s="59">
        <f t="shared" si="0"/>
        <v>2</v>
      </c>
    </row>
    <row r="8" spans="3:13" ht="15.75" thickBot="1" x14ac:dyDescent="0.3">
      <c r="C8" s="44" t="s">
        <v>52</v>
      </c>
      <c r="D8" s="91">
        <v>4</v>
      </c>
      <c r="F8" s="104" t="s">
        <v>66</v>
      </c>
      <c r="G8" s="105"/>
      <c r="H8" s="105"/>
      <c r="I8" s="106"/>
      <c r="J8" s="35"/>
      <c r="K8" s="55" t="s">
        <v>20</v>
      </c>
      <c r="L8" s="49" t="s">
        <v>37</v>
      </c>
      <c r="M8" s="59">
        <f t="shared" si="0"/>
        <v>1</v>
      </c>
    </row>
    <row r="9" spans="3:13" ht="15.75" thickBot="1" x14ac:dyDescent="0.3">
      <c r="J9" s="35"/>
      <c r="K9" s="56" t="s">
        <v>21</v>
      </c>
      <c r="L9" s="50" t="s">
        <v>34</v>
      </c>
      <c r="M9" s="59">
        <f t="shared" si="0"/>
        <v>1</v>
      </c>
    </row>
    <row r="10" spans="3:13" x14ac:dyDescent="0.25">
      <c r="C10" s="38" t="s">
        <v>48</v>
      </c>
      <c r="D10" s="39">
        <v>0.5</v>
      </c>
      <c r="F10" s="116" t="s">
        <v>68</v>
      </c>
      <c r="G10" s="117"/>
      <c r="H10" s="117"/>
      <c r="I10" s="118"/>
      <c r="J10" s="35"/>
      <c r="K10" s="56" t="s">
        <v>22</v>
      </c>
      <c r="L10" s="50" t="s">
        <v>32</v>
      </c>
      <c r="M10" s="59">
        <f t="shared" si="0"/>
        <v>1</v>
      </c>
    </row>
    <row r="11" spans="3:13" x14ac:dyDescent="0.25">
      <c r="C11" s="42" t="s">
        <v>46</v>
      </c>
      <c r="D11" s="43">
        <v>0.4</v>
      </c>
      <c r="F11" s="107" t="s">
        <v>69</v>
      </c>
      <c r="G11" s="108"/>
      <c r="H11" s="108"/>
      <c r="I11" s="109"/>
      <c r="J11" s="35"/>
      <c r="K11" s="56" t="s">
        <v>23</v>
      </c>
      <c r="L11" s="50" t="s">
        <v>35</v>
      </c>
      <c r="M11" s="59">
        <f t="shared" si="0"/>
        <v>1</v>
      </c>
    </row>
    <row r="12" spans="3:13" x14ac:dyDescent="0.25">
      <c r="C12" s="40" t="s">
        <v>43</v>
      </c>
      <c r="D12" s="41">
        <v>0.5</v>
      </c>
      <c r="F12" s="107" t="s">
        <v>71</v>
      </c>
      <c r="G12" s="108"/>
      <c r="H12" s="108"/>
      <c r="I12" s="109"/>
      <c r="J12" s="35"/>
      <c r="K12" s="57" t="s">
        <v>30</v>
      </c>
      <c r="L12" s="51" t="s">
        <v>36</v>
      </c>
      <c r="M12" s="59">
        <f t="shared" si="0"/>
        <v>0</v>
      </c>
    </row>
    <row r="13" spans="3:13" ht="15.75" thickBot="1" x14ac:dyDescent="0.3">
      <c r="C13" s="44" t="s">
        <v>47</v>
      </c>
      <c r="D13" s="45">
        <v>0.4</v>
      </c>
      <c r="F13" s="104" t="s">
        <v>70</v>
      </c>
      <c r="G13" s="105"/>
      <c r="H13" s="105"/>
      <c r="I13" s="106"/>
      <c r="J13" s="35"/>
      <c r="K13" s="58" t="s">
        <v>29</v>
      </c>
      <c r="L13" s="52" t="s">
        <v>38</v>
      </c>
      <c r="M13" s="59">
        <f t="shared" si="0"/>
        <v>1</v>
      </c>
    </row>
    <row r="14" spans="3:13" x14ac:dyDescent="0.25">
      <c r="J14" s="35"/>
      <c r="K14" s="121" t="s">
        <v>28</v>
      </c>
      <c r="L14" s="122"/>
      <c r="M14" s="60">
        <f>COUNTIF(H28:H38, "=FAIL")</f>
        <v>3</v>
      </c>
    </row>
    <row r="15" spans="3:13" x14ac:dyDescent="0.25">
      <c r="J15" s="35"/>
      <c r="K15" s="123" t="s">
        <v>27</v>
      </c>
      <c r="L15" s="124"/>
      <c r="M15" s="59">
        <f>COUNTIF(H28:H38, "=PASS")</f>
        <v>8</v>
      </c>
    </row>
    <row r="16" spans="3:13" x14ac:dyDescent="0.25">
      <c r="J16" s="35"/>
      <c r="K16" s="123" t="s">
        <v>39</v>
      </c>
      <c r="L16" s="124"/>
      <c r="M16" s="59">
        <f>COUNTIF(G28:G38, "=WRITE SUPP")</f>
        <v>2</v>
      </c>
    </row>
    <row r="17" spans="1:17" x14ac:dyDescent="0.25">
      <c r="J17" s="35"/>
      <c r="K17" s="123" t="s">
        <v>40</v>
      </c>
      <c r="L17" s="124"/>
      <c r="M17" s="61">
        <f>MAX(J28:J38)-MIN(J28:J38)</f>
        <v>0.49799999999999989</v>
      </c>
    </row>
    <row r="18" spans="1:17" x14ac:dyDescent="0.25">
      <c r="J18" s="35"/>
      <c r="K18" s="123" t="s">
        <v>41</v>
      </c>
      <c r="L18" s="124"/>
      <c r="M18" s="61">
        <f>AVERAGE(J28:J38)</f>
        <v>0.65469421487603308</v>
      </c>
    </row>
    <row r="19" spans="1:17" ht="15.75" thickBot="1" x14ac:dyDescent="0.3">
      <c r="J19" s="35"/>
      <c r="K19" s="119" t="s">
        <v>42</v>
      </c>
      <c r="L19" s="120"/>
      <c r="M19" s="62">
        <f>STDEV(J28:J38)</f>
        <v>0.15534477396390342</v>
      </c>
    </row>
    <row r="24" spans="1:17" ht="15.75" thickBot="1" x14ac:dyDescent="0.3"/>
    <row r="25" spans="1:17" ht="15.75" thickBot="1" x14ac:dyDescent="0.3">
      <c r="D25" s="63" t="s">
        <v>3</v>
      </c>
      <c r="E25" s="64" t="s">
        <v>1</v>
      </c>
      <c r="F25" s="64" t="s">
        <v>2</v>
      </c>
      <c r="G25" s="64" t="s">
        <v>45</v>
      </c>
      <c r="H25" s="64" t="s">
        <v>44</v>
      </c>
      <c r="I25" s="64" t="s">
        <v>25</v>
      </c>
      <c r="J25" s="70" t="s">
        <v>9</v>
      </c>
      <c r="K25" s="64" t="s">
        <v>4</v>
      </c>
      <c r="L25" s="64" t="s">
        <v>54</v>
      </c>
      <c r="M25" s="98" t="s">
        <v>49</v>
      </c>
      <c r="N25" s="65" t="str">
        <f ca="1">'Test 1'!D3</f>
        <v>Test 1</v>
      </c>
      <c r="O25" s="65" t="str">
        <f ca="1">'Test 2'!D3</f>
        <v>Test 2</v>
      </c>
      <c r="P25" s="65" t="str">
        <f ca="1">'Oral Assignment 1'!D3</f>
        <v>Oral Assignment 1</v>
      </c>
      <c r="Q25" s="65" t="str">
        <f ca="1">'Test 4'!D3</f>
        <v>Test 4</v>
      </c>
    </row>
    <row r="26" spans="1:17" ht="15.75" thickBot="1" x14ac:dyDescent="0.3">
      <c r="C26" s="25" t="s">
        <v>11</v>
      </c>
      <c r="D26" s="26"/>
      <c r="E26" s="27"/>
      <c r="F26" s="27"/>
      <c r="G26" s="27"/>
      <c r="H26" s="27"/>
      <c r="I26" s="27"/>
      <c r="J26" s="71">
        <v>1</v>
      </c>
      <c r="K26" s="22">
        <v>0.4</v>
      </c>
      <c r="L26" s="22">
        <v>0.6</v>
      </c>
      <c r="M26" s="99"/>
      <c r="N26" s="97">
        <f>N27/$M$27</f>
        <v>9.0909090909090912E-2</v>
      </c>
      <c r="O26" s="97">
        <f t="shared" ref="O26:Q26" si="1">O27/$M$27</f>
        <v>0.27272727272727271</v>
      </c>
      <c r="P26" s="97">
        <f t="shared" si="1"/>
        <v>0.18181818181818182</v>
      </c>
      <c r="Q26" s="97">
        <f t="shared" si="1"/>
        <v>0.45454545454545453</v>
      </c>
    </row>
    <row r="27" spans="1:17" ht="15.75" thickBot="1" x14ac:dyDescent="0.3">
      <c r="C27" s="29" t="s">
        <v>53</v>
      </c>
      <c r="D27" s="30"/>
      <c r="E27" s="31"/>
      <c r="F27" s="31"/>
      <c r="G27" s="31"/>
      <c r="H27" s="31"/>
      <c r="I27" s="31"/>
      <c r="J27" s="72"/>
      <c r="K27" s="69"/>
      <c r="L27" s="31"/>
      <c r="M27" s="100">
        <f>SUM(N27:Q27)</f>
        <v>110</v>
      </c>
      <c r="N27" s="32">
        <f>SUM('Test 1'!L6:U6)</f>
        <v>10</v>
      </c>
      <c r="O27" s="32">
        <f>'Test 2'!I6</f>
        <v>30</v>
      </c>
      <c r="P27" s="32">
        <f>'Oral Assignment 1'!I6</f>
        <v>20</v>
      </c>
      <c r="Q27" s="32">
        <f>'Test 4'!I6</f>
        <v>50</v>
      </c>
    </row>
    <row r="28" spans="1:17" x14ac:dyDescent="0.25">
      <c r="A28" s="102"/>
      <c r="C28" s="103"/>
      <c r="D28" s="73" t="s">
        <v>76</v>
      </c>
      <c r="E28" s="96" t="s">
        <v>89</v>
      </c>
      <c r="F28" s="88" t="s">
        <v>78</v>
      </c>
      <c r="G28" s="74" t="str">
        <f t="shared" ref="G28:G38" si="2">IF(AND(K28&gt;=D$13, J28&gt;=D$11), IF(OR(K28&lt;D$12, J28&lt;D$10), "WRITE SUPP", "NO SUPP"), "NO SUPP")</f>
        <v>NO SUPP</v>
      </c>
      <c r="H28" s="74" t="str">
        <f t="shared" ref="H28:H38" si="3">IF(K28&gt;=D$12, IF(J28&gt;=D$10, "PASS", "FAIL"), "FAIL")</f>
        <v>PASS</v>
      </c>
      <c r="I28" s="74" t="str">
        <f>STUDENT_GRADE(J28,K$4:K$13,L$4:L$13)</f>
        <v>B</v>
      </c>
      <c r="J28" s="89">
        <f t="shared" ref="J28:J38" si="4">IFERROR(K$26*K28+L$26*L28, L$26*L28)</f>
        <v>0.69090909090909092</v>
      </c>
      <c r="K28" s="89">
        <f>IF(ISNUMBER(FIND("MISSING MARK",Exam!I7)),Exam!I7,IF(ISNUMBER(FIND("INVALID MARK",Exam!I7)),Exam!I7,IF(ISNUMBER(FIND("INVALID ENTRY",Exam!I7)),Exam!I7, Exam!H7)))</f>
        <v>0.72499999999999998</v>
      </c>
      <c r="L28" s="89">
        <f t="shared" ref="L28:L38" si="5">M28/M$27</f>
        <v>0.66818181818181821</v>
      </c>
      <c r="M28" s="74">
        <f>SUM(N28:Q28)</f>
        <v>73.5</v>
      </c>
      <c r="N28" s="75">
        <f>'Test 1'!I7</f>
        <v>4</v>
      </c>
      <c r="O28" s="75">
        <f>'Test 2'!I7</f>
        <v>20.5</v>
      </c>
      <c r="P28" s="75">
        <f>'Oral Assignment 1'!I7</f>
        <v>16</v>
      </c>
      <c r="Q28" s="75">
        <f>'Test 4'!I7</f>
        <v>33</v>
      </c>
    </row>
    <row r="29" spans="1:17" x14ac:dyDescent="0.25">
      <c r="A29" s="102"/>
      <c r="D29" s="73" t="s">
        <v>79</v>
      </c>
      <c r="E29" s="96" t="s">
        <v>77</v>
      </c>
      <c r="F29" s="88" t="s">
        <v>81</v>
      </c>
      <c r="G29" s="74" t="str">
        <f t="shared" si="2"/>
        <v>NO SUPP</v>
      </c>
      <c r="H29" s="74" t="str">
        <f t="shared" si="3"/>
        <v>PASS</v>
      </c>
      <c r="I29" s="74" t="str">
        <f>STUDENT_GRADE(J29,K$4:K$13,L$4:L$13)</f>
        <v>A+</v>
      </c>
      <c r="J29" s="89">
        <f t="shared" si="4"/>
        <v>0.88527272727272721</v>
      </c>
      <c r="K29" s="89">
        <f>IF(ISNUMBER(FIND("MISSING MARK",Exam!I8)),Exam!I8,IF(ISNUMBER(FIND("INVALID MARK",Exam!I8)),Exam!I8,IF(ISNUMBER(FIND("INVALID ENTRY",Exam!I8)),Exam!I8, Exam!H8)))</f>
        <v>0.87</v>
      </c>
      <c r="L29" s="89">
        <f t="shared" si="5"/>
        <v>0.8954545454545455</v>
      </c>
      <c r="M29" s="74">
        <f>SUM(N29:Q29)</f>
        <v>98.5</v>
      </c>
      <c r="N29" s="75">
        <f>'Test 1'!I8</f>
        <v>8</v>
      </c>
      <c r="O29" s="75">
        <f>'Test 2'!I8</f>
        <v>25.5</v>
      </c>
      <c r="P29" s="75">
        <f>'Oral Assignment 1'!I8</f>
        <v>19</v>
      </c>
      <c r="Q29" s="75">
        <f>'Test 4'!I8</f>
        <v>46</v>
      </c>
    </row>
    <row r="30" spans="1:17" x14ac:dyDescent="0.25">
      <c r="A30" s="102"/>
      <c r="D30" s="101" t="s">
        <v>80</v>
      </c>
      <c r="E30" s="101" t="s">
        <v>84</v>
      </c>
      <c r="F30" s="88" t="s">
        <v>82</v>
      </c>
      <c r="G30" s="74" t="str">
        <f t="shared" si="2"/>
        <v>NO SUPP</v>
      </c>
      <c r="H30" s="74" t="str">
        <f t="shared" si="3"/>
        <v>FAIL</v>
      </c>
      <c r="I30" s="74" t="str">
        <f>STUDENT_GRADE(J30,K$4:K$13,L$4:L$13)</f>
        <v>F</v>
      </c>
      <c r="J30" s="89">
        <f t="shared" si="4"/>
        <v>0.38727272727272732</v>
      </c>
      <c r="K30" s="89">
        <f>IF(ISNUMBER(FIND("MISSING MARK",Exam!I9)),Exam!I9,IF(ISNUMBER(FIND("INVALID MARK",Exam!I9)),Exam!I9,IF(ISNUMBER(FIND("INVALID ENTRY",Exam!I9)),Exam!I9, Exam!H9)))</f>
        <v>0.45</v>
      </c>
      <c r="L30" s="89">
        <f t="shared" si="5"/>
        <v>0.34545454545454546</v>
      </c>
      <c r="M30" s="74">
        <f>SUM(N30:Q30)</f>
        <v>38</v>
      </c>
      <c r="N30" s="75">
        <f>'Test 1'!I9</f>
        <v>4</v>
      </c>
      <c r="O30" s="75">
        <f>'Test 2'!I9</f>
        <v>9.0000000000000018</v>
      </c>
      <c r="P30" s="75">
        <f>'Oral Assignment 1'!I9</f>
        <v>9</v>
      </c>
      <c r="Q30" s="75">
        <f>'Test 4'!I9</f>
        <v>16</v>
      </c>
    </row>
    <row r="31" spans="1:17" x14ac:dyDescent="0.25">
      <c r="A31" s="102"/>
      <c r="D31" s="73" t="s">
        <v>85</v>
      </c>
      <c r="E31" s="73" t="s">
        <v>86</v>
      </c>
      <c r="F31" s="88" t="s">
        <v>83</v>
      </c>
      <c r="G31" s="74" t="str">
        <f t="shared" si="2"/>
        <v>NO SUPP</v>
      </c>
      <c r="H31" s="74" t="str">
        <f t="shared" si="3"/>
        <v>PASS</v>
      </c>
      <c r="I31" s="74" t="str">
        <f>STUDENT_GRADE(J31,K$4:K$13,L$4:L$13)</f>
        <v>C</v>
      </c>
      <c r="J31" s="89">
        <f t="shared" si="4"/>
        <v>0.53927272727272724</v>
      </c>
      <c r="K31" s="89">
        <f>IF(ISNUMBER(FIND("MISSING MARK",Exam!I10)),Exam!I10,IF(ISNUMBER(FIND("INVALID MARK",Exam!I10)),Exam!I10,IF(ISNUMBER(FIND("INVALID ENTRY",Exam!I10)),Exam!I10, Exam!H10)))</f>
        <v>0.53</v>
      </c>
      <c r="L31" s="89">
        <f t="shared" si="5"/>
        <v>0.54545454545454541</v>
      </c>
      <c r="M31" s="74">
        <f>SUM(N31:Q31)</f>
        <v>60</v>
      </c>
      <c r="N31" s="75">
        <f>'Test 1'!I10</f>
        <v>5</v>
      </c>
      <c r="O31" s="75">
        <f>'Test 2'!I10</f>
        <v>13.999999999999998</v>
      </c>
      <c r="P31" s="75">
        <f>'Oral Assignment 1'!I10</f>
        <v>11</v>
      </c>
      <c r="Q31" s="75">
        <f>'Test 4'!I10</f>
        <v>30</v>
      </c>
    </row>
    <row r="32" spans="1:17" x14ac:dyDescent="0.25">
      <c r="A32" s="102"/>
      <c r="D32" s="73" t="s">
        <v>88</v>
      </c>
      <c r="E32" s="73" t="s">
        <v>87</v>
      </c>
      <c r="F32" s="88" t="s">
        <v>90</v>
      </c>
      <c r="G32" s="74" t="str">
        <f>IF(AND(K32&gt;=D$13, J32&gt;=D$11), IF(OR(K32&lt;D$12, J32&lt;D$10), "WRITE SUPP", "NO SUPP"), "NO SUPP")</f>
        <v>WRITE SUPP</v>
      </c>
      <c r="H32" s="74" t="str">
        <f t="shared" si="3"/>
        <v>FAIL</v>
      </c>
      <c r="I32" s="74" t="str">
        <f>STUDENT_GRADE(J32,K$4:K$13,L$4:L$13)</f>
        <v>C+</v>
      </c>
      <c r="J32" s="89">
        <f t="shared" si="4"/>
        <v>0.5730909090909091</v>
      </c>
      <c r="K32" s="89">
        <f>IF(ISNUMBER(FIND("MISSING MARK",Exam!I11)),Exam!I11,IF(ISNUMBER(FIND("INVALID MARK",Exam!I11)),Exam!I11,IF(ISNUMBER(FIND("INVALID ENTRY",Exam!I11)),Exam!I11, Exam!H11)))</f>
        <v>0.41</v>
      </c>
      <c r="L32" s="89">
        <f t="shared" si="5"/>
        <v>0.68181818181818177</v>
      </c>
      <c r="M32" s="74">
        <f>SUM(N32:Q32)</f>
        <v>75</v>
      </c>
      <c r="N32" s="75">
        <f>'Test 1'!I11</f>
        <v>6</v>
      </c>
      <c r="O32" s="75">
        <f>'Test 2'!I11</f>
        <v>14.999999999999998</v>
      </c>
      <c r="P32" s="75">
        <f>'Oral Assignment 1'!I11</f>
        <v>19</v>
      </c>
      <c r="Q32" s="75">
        <f>'Test 4'!I11</f>
        <v>35</v>
      </c>
    </row>
    <row r="33" spans="1:17" x14ac:dyDescent="0.25">
      <c r="A33" s="102"/>
      <c r="D33" s="73" t="s">
        <v>92</v>
      </c>
      <c r="E33" s="73" t="s">
        <v>91</v>
      </c>
      <c r="F33" s="88" t="s">
        <v>93</v>
      </c>
      <c r="G33" s="74" t="str">
        <f t="shared" si="2"/>
        <v>WRITE SUPP</v>
      </c>
      <c r="H33" s="74" t="str">
        <f t="shared" si="3"/>
        <v>FAIL</v>
      </c>
      <c r="I33" s="74" t="str">
        <f>STUDENT_GRADE(J33,K$4:K$13,L$4:L$13)</f>
        <v>C-</v>
      </c>
      <c r="J33" s="89">
        <f t="shared" si="4"/>
        <v>0.47272727272727277</v>
      </c>
      <c r="K33" s="89">
        <f>IF(ISNUMBER(FIND("MISSING MARK",Exam!I12)),Exam!I12,IF(ISNUMBER(FIND("INVALID MARK",Exam!I12)),Exam!I12,IF(ISNUMBER(FIND("INVALID ENTRY",Exam!I12)),Exam!I12, Exam!H12)))</f>
        <v>0.65</v>
      </c>
      <c r="L33" s="89">
        <f t="shared" si="5"/>
        <v>0.35454545454545455</v>
      </c>
      <c r="M33" s="74">
        <f>SUM(N33:Q33)</f>
        <v>39</v>
      </c>
      <c r="N33" s="75">
        <f>'Test 1'!I12</f>
        <v>3.0000000000000004</v>
      </c>
      <c r="O33" s="75">
        <f>'Test 2'!I12</f>
        <v>8</v>
      </c>
      <c r="P33" s="75">
        <f>'Oral Assignment 1'!I12</f>
        <v>11</v>
      </c>
      <c r="Q33" s="75">
        <f>'Test 4'!I12</f>
        <v>17</v>
      </c>
    </row>
    <row r="34" spans="1:17" x14ac:dyDescent="0.25">
      <c r="A34" s="102"/>
      <c r="D34" s="73" t="s">
        <v>95</v>
      </c>
      <c r="E34" s="73" t="s">
        <v>94</v>
      </c>
      <c r="F34" s="88" t="s">
        <v>97</v>
      </c>
      <c r="G34" s="74" t="str">
        <f t="shared" si="2"/>
        <v>NO SUPP</v>
      </c>
      <c r="H34" s="74" t="str">
        <f t="shared" si="3"/>
        <v>PASS</v>
      </c>
      <c r="I34" s="74" t="str">
        <f>STUDENT_GRADE(J34,K$4:K$13,L$4:L$13)</f>
        <v>B-</v>
      </c>
      <c r="J34" s="89">
        <f t="shared" si="4"/>
        <v>0.63836363636363624</v>
      </c>
      <c r="K34" s="89">
        <f>IF(ISNUMBER(FIND("MISSING MARK",Exam!I13)),Exam!I13,IF(ISNUMBER(FIND("INVALID MARK",Exam!I13)),Exam!I13,IF(ISNUMBER(FIND("INVALID ENTRY",Exam!I13)),Exam!I13, Exam!H13)))</f>
        <v>0.57999999999999996</v>
      </c>
      <c r="L34" s="89">
        <f t="shared" si="5"/>
        <v>0.67727272727272725</v>
      </c>
      <c r="M34" s="74">
        <f>SUM(N34:Q34)</f>
        <v>74.5</v>
      </c>
      <c r="N34" s="75">
        <f>'Test 1'!I13</f>
        <v>6</v>
      </c>
      <c r="O34" s="75">
        <f>'Test 2'!I13</f>
        <v>9.5000000000000018</v>
      </c>
      <c r="P34" s="75">
        <f>'Oral Assignment 1'!I13</f>
        <v>12</v>
      </c>
      <c r="Q34" s="75">
        <f>'Test 4'!I13</f>
        <v>47</v>
      </c>
    </row>
    <row r="35" spans="1:17" x14ac:dyDescent="0.25">
      <c r="A35" s="102"/>
      <c r="D35" s="73" t="s">
        <v>95</v>
      </c>
      <c r="E35" s="73" t="s">
        <v>99</v>
      </c>
      <c r="F35" s="88" t="s">
        <v>98</v>
      </c>
      <c r="G35" s="74" t="str">
        <f t="shared" si="2"/>
        <v>NO SUPP</v>
      </c>
      <c r="H35" s="74" t="str">
        <f t="shared" si="3"/>
        <v>PASS</v>
      </c>
      <c r="I35" s="74" t="str">
        <f>STUDENT_GRADE(J35,K$4:K$13,L$4:L$13)</f>
        <v>A+</v>
      </c>
      <c r="J35" s="89">
        <f t="shared" si="4"/>
        <v>0.8787272727272728</v>
      </c>
      <c r="K35" s="89">
        <f>IF(ISNUMBER(FIND("MISSING MARK",Exam!I14)),Exam!I14,IF(ISNUMBER(FIND("INVALID MARK",Exam!I14)),Exam!I14,IF(ISNUMBER(FIND("INVALID ENTRY",Exam!I14)),Exam!I14, Exam!H14)))</f>
        <v>0.69</v>
      </c>
      <c r="L35" s="89">
        <f t="shared" si="5"/>
        <v>1.0045454545454546</v>
      </c>
      <c r="M35" s="74">
        <f>SUM(N35:Q35)</f>
        <v>110.5</v>
      </c>
      <c r="N35" s="75">
        <f>'Test 1'!I14</f>
        <v>56</v>
      </c>
      <c r="O35" s="75">
        <f>'Test 2'!I14</f>
        <v>15.499999999999998</v>
      </c>
      <c r="P35" s="75">
        <f>'Oral Assignment 1'!I14</f>
        <v>13</v>
      </c>
      <c r="Q35" s="75">
        <f>'Test 4'!I14</f>
        <v>26</v>
      </c>
    </row>
    <row r="36" spans="1:17" x14ac:dyDescent="0.25">
      <c r="A36" s="102"/>
      <c r="D36" s="73" t="s">
        <v>95</v>
      </c>
      <c r="E36" s="73" t="s">
        <v>96</v>
      </c>
      <c r="F36" s="88" t="s">
        <v>100</v>
      </c>
      <c r="G36" s="74" t="str">
        <f t="shared" si="2"/>
        <v>NO SUPP</v>
      </c>
      <c r="H36" s="74" t="str">
        <f t="shared" si="3"/>
        <v>PASS</v>
      </c>
      <c r="I36" s="74" t="str">
        <f>STUDENT_GRADE(J36,K$4:K$13,L$4:L$13)</f>
        <v>B</v>
      </c>
      <c r="J36" s="89">
        <f t="shared" si="4"/>
        <v>0.67654545454545456</v>
      </c>
      <c r="K36" s="89">
        <f>IF(ISNUMBER(FIND("MISSING MARK",Exam!I15)),Exam!I15,IF(ISNUMBER(FIND("INVALID MARK",Exam!I15)),Exam!I15,IF(ISNUMBER(FIND("INVALID ENTRY",Exam!I15)),Exam!I15, Exam!H15)))</f>
        <v>0.80500000000000005</v>
      </c>
      <c r="L36" s="89">
        <f t="shared" si="5"/>
        <v>0.59090909090909094</v>
      </c>
      <c r="M36" s="74">
        <f>SUM(N36:Q36)</f>
        <v>65</v>
      </c>
      <c r="N36" s="75">
        <f>'Test 1'!I15</f>
        <v>9</v>
      </c>
      <c r="O36" s="75">
        <f>'Test 2'!I15</f>
        <v>11</v>
      </c>
      <c r="P36" s="75" t="str">
        <f>'Oral Assignment 1'!I15</f>
        <v>MISSING MARK</v>
      </c>
      <c r="Q36" s="75">
        <f>'Test 4'!I15</f>
        <v>45</v>
      </c>
    </row>
    <row r="37" spans="1:17" x14ac:dyDescent="0.25">
      <c r="A37" s="102"/>
      <c r="D37" s="73" t="s">
        <v>2</v>
      </c>
      <c r="E37" s="73" t="s">
        <v>96</v>
      </c>
      <c r="F37" s="88"/>
      <c r="G37" s="74" t="str">
        <f t="shared" si="2"/>
        <v>NO SUPP</v>
      </c>
      <c r="H37" s="74" t="str">
        <f t="shared" si="3"/>
        <v>PASS</v>
      </c>
      <c r="I37" s="74" t="str">
        <f>STUDENT_GRADE(J37,K$4:K$13,L$4:L$13)</f>
        <v>B+</v>
      </c>
      <c r="J37" s="89">
        <f t="shared" si="4"/>
        <v>0.72527272727272729</v>
      </c>
      <c r="K37" s="89">
        <f>IF(ISNUMBER(FIND("MISSING MARK",Exam!I16)),Exam!I16,IF(ISNUMBER(FIND("INVALID MARK",Exam!I16)),Exam!I16,IF(ISNUMBER(FIND("INVALID ENTRY",Exam!I16)),Exam!I16, Exam!H16)))</f>
        <v>0.77</v>
      </c>
      <c r="L37" s="89">
        <f t="shared" si="5"/>
        <v>0.69545454545454544</v>
      </c>
      <c r="M37" s="74">
        <f>SUM(N37:Q37)</f>
        <v>76.5</v>
      </c>
      <c r="N37" s="75">
        <f>'Test 1'!I16</f>
        <v>10</v>
      </c>
      <c r="O37" s="75">
        <f>'Test 2'!I16</f>
        <v>17.999999999999996</v>
      </c>
      <c r="P37" s="75">
        <f>'Oral Assignment 1'!I16</f>
        <v>12.5</v>
      </c>
      <c r="Q37" s="75">
        <f>'Test 4'!I16</f>
        <v>36</v>
      </c>
    </row>
    <row r="38" spans="1:17" x14ac:dyDescent="0.25">
      <c r="A38" s="102"/>
      <c r="D38" s="73" t="s">
        <v>102</v>
      </c>
      <c r="E38" s="73" t="s">
        <v>101</v>
      </c>
      <c r="F38" s="88" t="s">
        <v>103</v>
      </c>
      <c r="G38" s="74" t="str">
        <f t="shared" si="2"/>
        <v>NO SUPP</v>
      </c>
      <c r="H38" s="74" t="str">
        <f t="shared" si="3"/>
        <v>PASS</v>
      </c>
      <c r="I38" s="74" t="str">
        <f>STUDENT_GRADE(J38,K$4:K$13,L$4:L$13)</f>
        <v>B+</v>
      </c>
      <c r="J38" s="89">
        <f t="shared" si="4"/>
        <v>0.73418181818181816</v>
      </c>
      <c r="K38" s="89">
        <f>IF(ISNUMBER(FIND("MISSING MARK",Exam!I17)),Exam!I17,IF(ISNUMBER(FIND("INVALID MARK",Exam!I17)),Exam!I17,IF(ISNUMBER(FIND("INVALID ENTRY",Exam!I17)),Exam!I17, Exam!H17)))</f>
        <v>0.69</v>
      </c>
      <c r="L38" s="89">
        <f t="shared" si="5"/>
        <v>0.76363636363636367</v>
      </c>
      <c r="M38" s="74">
        <f>SUM(N38:Q38)</f>
        <v>84</v>
      </c>
      <c r="N38" s="75">
        <f>'Test 1'!I17</f>
        <v>7</v>
      </c>
      <c r="O38" s="75">
        <f>'Test 2'!I17</f>
        <v>16.999999999999996</v>
      </c>
      <c r="P38" s="75">
        <f>'Oral Assignment 1'!I17</f>
        <v>21</v>
      </c>
      <c r="Q38" s="75">
        <f>'Test 4'!I17</f>
        <v>39</v>
      </c>
    </row>
  </sheetData>
  <dataConsolidate/>
  <mergeCells count="13">
    <mergeCell ref="K19:L19"/>
    <mergeCell ref="K14:L14"/>
    <mergeCell ref="K15:L15"/>
    <mergeCell ref="K16:L16"/>
    <mergeCell ref="K17:L17"/>
    <mergeCell ref="K18:L18"/>
    <mergeCell ref="F8:I8"/>
    <mergeCell ref="F7:I7"/>
    <mergeCell ref="F3:I6"/>
    <mergeCell ref="F13:I13"/>
    <mergeCell ref="F12:I12"/>
    <mergeCell ref="F11:I11"/>
    <mergeCell ref="F10:I10"/>
  </mergeCells>
  <conditionalFormatting sqref="I28:I38">
    <cfRule type="cellIs" dxfId="153" priority="1132" operator="equal">
      <formula>$L$11</formula>
    </cfRule>
    <cfRule type="cellIs" dxfId="152" priority="1134" operator="equal">
      <formula>$L$9</formula>
    </cfRule>
    <cfRule type="cellIs" dxfId="151" priority="5294" operator="equal">
      <formula>$L$8</formula>
    </cfRule>
    <cfRule type="cellIs" dxfId="150" priority="5296" operator="equal">
      <formula>$L$6</formula>
    </cfRule>
    <cfRule type="cellIs" dxfId="149" priority="5297" operator="equal">
      <formula>$L$5</formula>
    </cfRule>
    <cfRule type="cellIs" dxfId="148" priority="5544" operator="equal">
      <formula>$L$4</formula>
    </cfRule>
  </conditionalFormatting>
  <conditionalFormatting sqref="G28">
    <cfRule type="containsText" dxfId="147" priority="5543" operator="containsText" text="WRITE SUPP">
      <formula>NOT(ISERROR(SEARCH("WRITE SUPP",G28)))</formula>
    </cfRule>
  </conditionalFormatting>
  <conditionalFormatting sqref="K28:K38">
    <cfRule type="containsText" dxfId="146" priority="1962" operator="containsText" text="MISSING MARK">
      <formula>NOT(ISERROR(SEARCH("MISSING MARK",K28)))</formula>
    </cfRule>
    <cfRule type="containsText" dxfId="145" priority="5539" operator="containsText" text="INVALID MARK">
      <formula>NOT(ISERROR(SEARCH("INVALID MARK",K28)))</formula>
    </cfRule>
    <cfRule type="cellIs" dxfId="144" priority="5546" operator="lessThan">
      <formula>$D$12</formula>
    </cfRule>
    <cfRule type="cellIs" priority="5547" operator="greaterThanOrEqual">
      <formula>$D$12</formula>
    </cfRule>
    <cfRule type="expression" dxfId="143" priority="5548">
      <formula>"&gt;=$D$10"</formula>
    </cfRule>
  </conditionalFormatting>
  <conditionalFormatting sqref="N28">
    <cfRule type="containsText" dxfId="142" priority="5540" operator="containsText" text="INVALID MARK">
      <formula>NOT(ISERROR(SEARCH("INVALID MARK",N28)))</formula>
    </cfRule>
    <cfRule type="containsText" dxfId="141" priority="5541" operator="containsText" text="INVALID ENTRY">
      <formula>NOT(ISERROR(SEARCH("INVALID ENTRY",N28)))</formula>
    </cfRule>
    <cfRule type="containsText" dxfId="140" priority="5542" operator="containsText" text="MISSING MARK">
      <formula>NOT(ISERROR(SEARCH("MISSING MARK",N28)))</formula>
    </cfRule>
  </conditionalFormatting>
  <conditionalFormatting sqref="H28">
    <cfRule type="containsText" dxfId="139" priority="5538" operator="containsText" text="FAIL">
      <formula>NOT(ISERROR(SEARCH("FAIL",H28)))</formula>
    </cfRule>
  </conditionalFormatting>
  <conditionalFormatting sqref="I28:I38">
    <cfRule type="cellIs" dxfId="138" priority="1130" operator="equal">
      <formula>$L$13</formula>
    </cfRule>
    <cfRule type="cellIs" dxfId="137" priority="1131" operator="equal">
      <formula>$L$12</formula>
    </cfRule>
    <cfRule type="cellIs" dxfId="136" priority="1133" operator="equal">
      <formula>$L$10</formula>
    </cfRule>
    <cfRule type="cellIs" dxfId="135" priority="5295" operator="equal">
      <formula>$L$7</formula>
    </cfRule>
  </conditionalFormatting>
  <conditionalFormatting sqref="G29:G31">
    <cfRule type="containsText" dxfId="134" priority="2102" operator="containsText" text="WRITE SUPP">
      <formula>NOT(ISERROR(SEARCH("WRITE SUPP",G29)))</formula>
    </cfRule>
  </conditionalFormatting>
  <conditionalFormatting sqref="J28:J37">
    <cfRule type="cellIs" dxfId="133" priority="2104" operator="lessThan">
      <formula>$D$10</formula>
    </cfRule>
  </conditionalFormatting>
  <conditionalFormatting sqref="N29:N31">
    <cfRule type="containsText" dxfId="132" priority="2099" operator="containsText" text="INVALID MARK">
      <formula>NOT(ISERROR(SEARCH("INVALID MARK",N29)))</formula>
    </cfRule>
    <cfRule type="containsText" dxfId="131" priority="2100" operator="containsText" text="INVALID ENTRY">
      <formula>NOT(ISERROR(SEARCH("INVALID ENTRY",N29)))</formula>
    </cfRule>
    <cfRule type="containsText" dxfId="130" priority="2101" operator="containsText" text="MISSING MARK">
      <formula>NOT(ISERROR(SEARCH("MISSING MARK",N29)))</formula>
    </cfRule>
  </conditionalFormatting>
  <conditionalFormatting sqref="H29:H31">
    <cfRule type="containsText" dxfId="129" priority="2097" operator="containsText" text="FAIL">
      <formula>NOT(ISERROR(SEARCH("FAIL",H29)))</formula>
    </cfRule>
  </conditionalFormatting>
  <conditionalFormatting sqref="O28">
    <cfRule type="containsText" dxfId="128" priority="2090" operator="containsText" text="INVALID MARK">
      <formula>NOT(ISERROR(SEARCH("INVALID MARK",O28)))</formula>
    </cfRule>
    <cfRule type="containsText" dxfId="127" priority="2091" operator="containsText" text="INVALID ENTRY">
      <formula>NOT(ISERROR(SEARCH("INVALID ENTRY",O28)))</formula>
    </cfRule>
    <cfRule type="containsText" dxfId="126" priority="2092" operator="containsText" text="MISSING MARK">
      <formula>NOT(ISERROR(SEARCH("MISSING MARK",O28)))</formula>
    </cfRule>
  </conditionalFormatting>
  <conditionalFormatting sqref="O29:O31">
    <cfRule type="containsText" dxfId="125" priority="2087" operator="containsText" text="INVALID MARK">
      <formula>NOT(ISERROR(SEARCH("INVALID MARK",O29)))</formula>
    </cfRule>
    <cfRule type="containsText" dxfId="124" priority="2088" operator="containsText" text="INVALID ENTRY">
      <formula>NOT(ISERROR(SEARCH("INVALID ENTRY",O29)))</formula>
    </cfRule>
    <cfRule type="containsText" dxfId="123" priority="2089" operator="containsText" text="MISSING MARK">
      <formula>NOT(ISERROR(SEARCH("MISSING MARK",O29)))</formula>
    </cfRule>
  </conditionalFormatting>
  <conditionalFormatting sqref="P28">
    <cfRule type="containsText" dxfId="122" priority="2084" operator="containsText" text="INVALID MARK">
      <formula>NOT(ISERROR(SEARCH("INVALID MARK",P28)))</formula>
    </cfRule>
    <cfRule type="containsText" dxfId="121" priority="2085" operator="containsText" text="INVALID ENTRY">
      <formula>NOT(ISERROR(SEARCH("INVALID ENTRY",P28)))</formula>
    </cfRule>
    <cfRule type="containsText" dxfId="120" priority="2086" operator="containsText" text="MISSING MARK">
      <formula>NOT(ISERROR(SEARCH("MISSING MARK",P28)))</formula>
    </cfRule>
  </conditionalFormatting>
  <conditionalFormatting sqref="P29:P31">
    <cfRule type="containsText" dxfId="119" priority="2081" operator="containsText" text="INVALID MARK">
      <formula>NOT(ISERROR(SEARCH("INVALID MARK",P29)))</formula>
    </cfRule>
    <cfRule type="containsText" dxfId="118" priority="2082" operator="containsText" text="INVALID ENTRY">
      <formula>NOT(ISERROR(SEARCH("INVALID ENTRY",P29)))</formula>
    </cfRule>
    <cfRule type="containsText" dxfId="117" priority="2083" operator="containsText" text="MISSING MARK">
      <formula>NOT(ISERROR(SEARCH("MISSING MARK",P29)))</formula>
    </cfRule>
  </conditionalFormatting>
  <conditionalFormatting sqref="Q28">
    <cfRule type="containsText" dxfId="116" priority="2072" operator="containsText" text="INVALID MARK">
      <formula>NOT(ISERROR(SEARCH("INVALID MARK",Q28)))</formula>
    </cfRule>
    <cfRule type="containsText" dxfId="115" priority="2073" operator="containsText" text="INVALID ENTRY">
      <formula>NOT(ISERROR(SEARCH("INVALID ENTRY",Q28)))</formula>
    </cfRule>
    <cfRule type="containsText" dxfId="114" priority="2074" operator="containsText" text="MISSING MARK">
      <formula>NOT(ISERROR(SEARCH("MISSING MARK",Q28)))</formula>
    </cfRule>
  </conditionalFormatting>
  <conditionalFormatting sqref="Q29:Q31">
    <cfRule type="containsText" dxfId="113" priority="2069" operator="containsText" text="INVALID MARK">
      <formula>NOT(ISERROR(SEARCH("INVALID MARK",Q29)))</formula>
    </cfRule>
    <cfRule type="containsText" dxfId="112" priority="2070" operator="containsText" text="INVALID ENTRY">
      <formula>NOT(ISERROR(SEARCH("INVALID ENTRY",Q29)))</formula>
    </cfRule>
    <cfRule type="containsText" dxfId="111" priority="2071" operator="containsText" text="MISSING MARK">
      <formula>NOT(ISERROR(SEARCH("MISSING MARK",Q29)))</formula>
    </cfRule>
  </conditionalFormatting>
  <conditionalFormatting sqref="G32:G36">
    <cfRule type="containsText" dxfId="110" priority="2063" operator="containsText" text="WRITE SUPP">
      <formula>NOT(ISERROR(SEARCH("WRITE SUPP",G32)))</formula>
    </cfRule>
  </conditionalFormatting>
  <conditionalFormatting sqref="N32:N36">
    <cfRule type="containsText" dxfId="109" priority="2060" operator="containsText" text="INVALID MARK">
      <formula>NOT(ISERROR(SEARCH("INVALID MARK",N32)))</formula>
    </cfRule>
    <cfRule type="containsText" dxfId="108" priority="2061" operator="containsText" text="INVALID ENTRY">
      <formula>NOT(ISERROR(SEARCH("INVALID ENTRY",N32)))</formula>
    </cfRule>
    <cfRule type="containsText" dxfId="107" priority="2062" operator="containsText" text="MISSING MARK">
      <formula>NOT(ISERROR(SEARCH("MISSING MARK",N32)))</formula>
    </cfRule>
  </conditionalFormatting>
  <conditionalFormatting sqref="H32:H36">
    <cfRule type="containsText" dxfId="106" priority="2058" operator="containsText" text="FAIL">
      <formula>NOT(ISERROR(SEARCH("FAIL",H32)))</formula>
    </cfRule>
  </conditionalFormatting>
  <conditionalFormatting sqref="O32:O36">
    <cfRule type="containsText" dxfId="105" priority="2051" operator="containsText" text="INVALID MARK">
      <formula>NOT(ISERROR(SEARCH("INVALID MARK",O32)))</formula>
    </cfRule>
    <cfRule type="containsText" dxfId="104" priority="2052" operator="containsText" text="INVALID ENTRY">
      <formula>NOT(ISERROR(SEARCH("INVALID ENTRY",O32)))</formula>
    </cfRule>
    <cfRule type="containsText" dxfId="103" priority="2053" operator="containsText" text="MISSING MARK">
      <formula>NOT(ISERROR(SEARCH("MISSING MARK",O32)))</formula>
    </cfRule>
  </conditionalFormatting>
  <conditionalFormatting sqref="P32:P36">
    <cfRule type="containsText" dxfId="102" priority="2048" operator="containsText" text="INVALID MARK">
      <formula>NOT(ISERROR(SEARCH("INVALID MARK",P32)))</formula>
    </cfRule>
    <cfRule type="containsText" dxfId="101" priority="2049" operator="containsText" text="INVALID ENTRY">
      <formula>NOT(ISERROR(SEARCH("INVALID ENTRY",P32)))</formula>
    </cfRule>
    <cfRule type="containsText" dxfId="100" priority="2050" operator="containsText" text="MISSING MARK">
      <formula>NOT(ISERROR(SEARCH("MISSING MARK",P32)))</formula>
    </cfRule>
  </conditionalFormatting>
  <conditionalFormatting sqref="Q32:Q36">
    <cfRule type="containsText" dxfId="99" priority="2045" operator="containsText" text="INVALID MARK">
      <formula>NOT(ISERROR(SEARCH("INVALID MARK",Q32)))</formula>
    </cfRule>
    <cfRule type="containsText" dxfId="98" priority="2046" operator="containsText" text="INVALID ENTRY">
      <formula>NOT(ISERROR(SEARCH("INVALID ENTRY",Q32)))</formula>
    </cfRule>
    <cfRule type="containsText" dxfId="97" priority="2047" operator="containsText" text="MISSING MARK">
      <formula>NOT(ISERROR(SEARCH("MISSING MARK",Q32)))</formula>
    </cfRule>
  </conditionalFormatting>
  <conditionalFormatting sqref="G37">
    <cfRule type="containsText" dxfId="96" priority="2030" operator="containsText" text="WRITE SUPP">
      <formula>NOT(ISERROR(SEARCH("WRITE SUPP",G37)))</formula>
    </cfRule>
  </conditionalFormatting>
  <conditionalFormatting sqref="N37">
    <cfRule type="containsText" dxfId="95" priority="2027" operator="containsText" text="INVALID MARK">
      <formula>NOT(ISERROR(SEARCH("INVALID MARK",N37)))</formula>
    </cfRule>
    <cfRule type="containsText" dxfId="94" priority="2028" operator="containsText" text="INVALID ENTRY">
      <formula>NOT(ISERROR(SEARCH("INVALID ENTRY",N37)))</formula>
    </cfRule>
    <cfRule type="containsText" dxfId="93" priority="2029" operator="containsText" text="MISSING MARK">
      <formula>NOT(ISERROR(SEARCH("MISSING MARK",N37)))</formula>
    </cfRule>
  </conditionalFormatting>
  <conditionalFormatting sqref="H37">
    <cfRule type="containsText" dxfId="92" priority="2025" operator="containsText" text="FAIL">
      <formula>NOT(ISERROR(SEARCH("FAIL",H37)))</formula>
    </cfRule>
  </conditionalFormatting>
  <conditionalFormatting sqref="O37">
    <cfRule type="containsText" dxfId="91" priority="2018" operator="containsText" text="INVALID MARK">
      <formula>NOT(ISERROR(SEARCH("INVALID MARK",O37)))</formula>
    </cfRule>
    <cfRule type="containsText" dxfId="90" priority="2019" operator="containsText" text="INVALID ENTRY">
      <formula>NOT(ISERROR(SEARCH("INVALID ENTRY",O37)))</formula>
    </cfRule>
    <cfRule type="containsText" dxfId="89" priority="2020" operator="containsText" text="MISSING MARK">
      <formula>NOT(ISERROR(SEARCH("MISSING MARK",O37)))</formula>
    </cfRule>
  </conditionalFormatting>
  <conditionalFormatting sqref="P37">
    <cfRule type="containsText" dxfId="88" priority="2015" operator="containsText" text="INVALID MARK">
      <formula>NOT(ISERROR(SEARCH("INVALID MARK",P37)))</formula>
    </cfRule>
    <cfRule type="containsText" dxfId="87" priority="2016" operator="containsText" text="INVALID ENTRY">
      <formula>NOT(ISERROR(SEARCH("INVALID ENTRY",P37)))</formula>
    </cfRule>
    <cfRule type="containsText" dxfId="86" priority="2017" operator="containsText" text="MISSING MARK">
      <formula>NOT(ISERROR(SEARCH("MISSING MARK",P37)))</formula>
    </cfRule>
  </conditionalFormatting>
  <conditionalFormatting sqref="Q37">
    <cfRule type="containsText" dxfId="85" priority="2012" operator="containsText" text="INVALID MARK">
      <formula>NOT(ISERROR(SEARCH("INVALID MARK",Q37)))</formula>
    </cfRule>
    <cfRule type="containsText" dxfId="84" priority="2013" operator="containsText" text="INVALID ENTRY">
      <formula>NOT(ISERROR(SEARCH("INVALID ENTRY",Q37)))</formula>
    </cfRule>
    <cfRule type="containsText" dxfId="83" priority="2014" operator="containsText" text="MISSING MARK">
      <formula>NOT(ISERROR(SEARCH("MISSING MARK",Q37)))</formula>
    </cfRule>
  </conditionalFormatting>
  <conditionalFormatting sqref="J38">
    <cfRule type="cellIs" dxfId="82" priority="1932" operator="lessThan">
      <formula>$D$10</formula>
    </cfRule>
  </conditionalFormatting>
  <conditionalFormatting sqref="G38">
    <cfRule type="containsText" dxfId="81" priority="1930" operator="containsText" text="WRITE SUPP">
      <formula>NOT(ISERROR(SEARCH("WRITE SUPP",G38)))</formula>
    </cfRule>
  </conditionalFormatting>
  <conditionalFormatting sqref="N38">
    <cfRule type="containsText" dxfId="80" priority="1927" operator="containsText" text="INVALID MARK">
      <formula>NOT(ISERROR(SEARCH("INVALID MARK",N38)))</formula>
    </cfRule>
    <cfRule type="containsText" dxfId="79" priority="1928" operator="containsText" text="INVALID ENTRY">
      <formula>NOT(ISERROR(SEARCH("INVALID ENTRY",N38)))</formula>
    </cfRule>
    <cfRule type="containsText" dxfId="78" priority="1929" operator="containsText" text="MISSING MARK">
      <formula>NOT(ISERROR(SEARCH("MISSING MARK",N38)))</formula>
    </cfRule>
  </conditionalFormatting>
  <conditionalFormatting sqref="H38">
    <cfRule type="containsText" dxfId="77" priority="1926" operator="containsText" text="FAIL">
      <formula>NOT(ISERROR(SEARCH("FAIL",H38)))</formula>
    </cfRule>
  </conditionalFormatting>
  <conditionalFormatting sqref="O38">
    <cfRule type="containsText" dxfId="76" priority="1919" operator="containsText" text="INVALID MARK">
      <formula>NOT(ISERROR(SEARCH("INVALID MARK",O38)))</formula>
    </cfRule>
    <cfRule type="containsText" dxfId="75" priority="1920" operator="containsText" text="INVALID ENTRY">
      <formula>NOT(ISERROR(SEARCH("INVALID ENTRY",O38)))</formula>
    </cfRule>
    <cfRule type="containsText" dxfId="74" priority="1921" operator="containsText" text="MISSING MARK">
      <formula>NOT(ISERROR(SEARCH("MISSING MARK",O38)))</formula>
    </cfRule>
  </conditionalFormatting>
  <conditionalFormatting sqref="P38">
    <cfRule type="containsText" dxfId="73" priority="1916" operator="containsText" text="INVALID MARK">
      <formula>NOT(ISERROR(SEARCH("INVALID MARK",P38)))</formula>
    </cfRule>
    <cfRule type="containsText" dxfId="72" priority="1917" operator="containsText" text="INVALID ENTRY">
      <formula>NOT(ISERROR(SEARCH("INVALID ENTRY",P38)))</formula>
    </cfRule>
    <cfRule type="containsText" dxfId="71" priority="1918" operator="containsText" text="MISSING MARK">
      <formula>NOT(ISERROR(SEARCH("MISSING MARK",P38)))</formula>
    </cfRule>
  </conditionalFormatting>
  <conditionalFormatting sqref="Q38">
    <cfRule type="containsText" dxfId="70" priority="1913" operator="containsText" text="INVALID MARK">
      <formula>NOT(ISERROR(SEARCH("INVALID MARK",Q38)))</formula>
    </cfRule>
    <cfRule type="containsText" dxfId="69" priority="1914" operator="containsText" text="INVALID ENTRY">
      <formula>NOT(ISERROR(SEARCH("INVALID ENTRY",Q38)))</formula>
    </cfRule>
    <cfRule type="containsText" dxfId="68" priority="1915" operator="containsText" text="MISSING MARK">
      <formula>NOT(ISERROR(SEARCH("MISSING MARK",Q38)))</formula>
    </cfRule>
  </conditionalFormatting>
  <conditionalFormatting sqref="K28:K38">
    <cfRule type="containsText" dxfId="67" priority="781" operator="containsText" text="INVALID ENTRY">
      <formula>NOT(ISERROR(SEARCH("INVALID ENTRY",K28)))</formula>
    </cfRule>
  </conditionalFormatting>
  <dataValidations count="3">
    <dataValidation type="decimal" allowBlank="1" showInputMessage="1" showErrorMessage="1" sqref="D10:D13">
      <formula1>0</formula1>
      <formula2>1</formula2>
    </dataValidation>
    <dataValidation type="whole" allowBlank="1" showInputMessage="1" showErrorMessage="1" sqref="D7">
      <formula1>0</formula1>
      <formula2>200</formula2>
    </dataValidation>
    <dataValidation type="whole" allowBlank="1" showInputMessage="1" showErrorMessage="1" sqref="D8">
      <formula1>0</formula1>
      <formula2>20</formula2>
    </dataValidation>
  </dataValidations>
  <pageMargins left="0.7" right="0.7" top="0.75" bottom="0.75" header="0.3" footer="0.3"/>
  <pageSetup orientation="portrait" horizontalDpi="1200" verticalDpi="1200" r:id="rId1"/>
  <ignoredErrors>
    <ignoredError sqref="F28:F29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3:DV17"/>
  <sheetViews>
    <sheetView zoomScaleNormal="100" workbookViewId="0">
      <selection activeCell="I7" sqref="I7:I17"/>
    </sheetView>
  </sheetViews>
  <sheetFormatPr defaultRowHeight="15" x14ac:dyDescent="0.25"/>
  <cols>
    <col min="1" max="1" width="9.140625" style="5"/>
    <col min="2" max="2" width="9.140625" style="5" customWidth="1"/>
    <col min="3" max="3" width="11" style="5" bestFit="1" customWidth="1"/>
    <col min="4" max="4" width="6.85546875" style="5" bestFit="1" customWidth="1"/>
    <col min="5" max="5" width="17.28515625" style="5" customWidth="1"/>
    <col min="6" max="6" width="17.28515625" style="5" bestFit="1" customWidth="1"/>
    <col min="7" max="7" width="15.85546875" style="5" bestFit="1" customWidth="1"/>
    <col min="8" max="8" width="15.85546875" style="4" bestFit="1" customWidth="1"/>
    <col min="9" max="9" width="14.42578125" style="19" bestFit="1" customWidth="1"/>
    <col min="10" max="10" width="11" style="8" bestFit="1" customWidth="1"/>
    <col min="11" max="11" width="29.140625" style="17" bestFit="1" customWidth="1"/>
    <col min="12" max="21" width="18.85546875" style="9" customWidth="1"/>
    <col min="22" max="24" width="9.140625" style="5"/>
    <col min="25" max="25" width="11" style="5" bestFit="1" customWidth="1"/>
    <col min="26" max="26" width="6.85546875" style="5" bestFit="1" customWidth="1"/>
    <col min="27" max="27" width="16.42578125" style="5" bestFit="1" customWidth="1"/>
    <col min="28" max="28" width="13.85546875" style="5" bestFit="1" customWidth="1"/>
    <col min="29" max="30" width="15.85546875" style="5" bestFit="1" customWidth="1"/>
    <col min="31" max="31" width="10.28515625" style="5" bestFit="1" customWidth="1"/>
    <col min="32" max="33" width="9.42578125" style="5" bestFit="1" customWidth="1"/>
    <col min="34" max="40" width="9" style="5" bestFit="1" customWidth="1"/>
    <col min="41" max="41" width="10" style="5" bestFit="1" customWidth="1"/>
    <col min="42" max="42" width="11" style="5" bestFit="1" customWidth="1"/>
    <col min="43" max="16384" width="9.140625" style="5"/>
  </cols>
  <sheetData>
    <row r="3" spans="3:126" ht="15.75" thickBot="1" x14ac:dyDescent="0.3">
      <c r="C3" s="7" t="s">
        <v>6</v>
      </c>
      <c r="D3" s="3" t="str">
        <f ca="1">MID(CELL("filename",A1),FIND("]",CELL("filename",A1))+1,255)</f>
        <v>Test 1</v>
      </c>
      <c r="F3" s="7" t="s">
        <v>74</v>
      </c>
      <c r="G3" s="4">
        <v>0</v>
      </c>
    </row>
    <row r="4" spans="3:126" ht="123.75" customHeight="1" thickBot="1" x14ac:dyDescent="0.3">
      <c r="C4" s="21"/>
      <c r="F4" s="125" t="s">
        <v>75</v>
      </c>
      <c r="G4" s="125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7"/>
      <c r="Z4" s="3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T4" s="7"/>
      <c r="AU4" s="3"/>
      <c r="AY4" s="4"/>
      <c r="AZ4" s="17"/>
      <c r="BA4" s="9"/>
      <c r="BB4" s="9"/>
      <c r="BC4" s="9"/>
      <c r="BD4" s="9"/>
      <c r="BE4" s="9"/>
      <c r="BF4" s="9"/>
      <c r="BG4" s="9"/>
      <c r="BH4" s="9"/>
      <c r="BI4" s="9"/>
      <c r="BJ4" s="9"/>
      <c r="BK4" s="8"/>
      <c r="BO4" s="7"/>
      <c r="BP4" s="3"/>
      <c r="BT4" s="4"/>
      <c r="BU4" s="17"/>
      <c r="BV4" s="9"/>
      <c r="BW4" s="9"/>
      <c r="BX4" s="9"/>
      <c r="BY4" s="9"/>
      <c r="BZ4" s="9"/>
      <c r="CA4" s="9"/>
      <c r="CB4" s="9"/>
      <c r="CC4" s="9"/>
      <c r="CD4" s="9"/>
      <c r="CE4" s="9"/>
      <c r="CF4" s="8"/>
      <c r="CJ4" s="7"/>
      <c r="CK4" s="3"/>
      <c r="CO4" s="4"/>
      <c r="CP4" s="17"/>
      <c r="CQ4" s="9"/>
      <c r="CR4" s="9"/>
      <c r="CS4" s="9"/>
      <c r="CT4" s="9"/>
      <c r="CU4" s="9"/>
      <c r="CV4" s="9"/>
      <c r="CW4" s="9"/>
      <c r="CX4" s="9"/>
      <c r="CY4" s="9"/>
      <c r="CZ4" s="9"/>
      <c r="DA4" s="8"/>
      <c r="DE4" s="7"/>
      <c r="DF4" s="3"/>
      <c r="DJ4" s="4"/>
      <c r="DK4" s="17"/>
      <c r="DL4" s="9"/>
      <c r="DM4" s="9"/>
      <c r="DN4" s="9"/>
      <c r="DO4" s="9"/>
      <c r="DP4" s="9"/>
      <c r="DQ4" s="9"/>
      <c r="DR4" s="9"/>
      <c r="DS4" s="9"/>
      <c r="DT4" s="9"/>
      <c r="DU4" s="9"/>
      <c r="DV4" s="8"/>
    </row>
    <row r="5" spans="3:126" s="7" customFormat="1" ht="15.75" thickBot="1" x14ac:dyDescent="0.3"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Y5" s="6"/>
      <c r="AZ5" s="12"/>
      <c r="BA5" s="11"/>
      <c r="BB5" s="11"/>
      <c r="BC5" s="11"/>
      <c r="BD5" s="11"/>
      <c r="BE5" s="11"/>
      <c r="BF5" s="11"/>
      <c r="BG5" s="11"/>
      <c r="BH5" s="11"/>
      <c r="BI5" s="11"/>
      <c r="BJ5" s="11"/>
      <c r="BK5" s="10"/>
      <c r="BT5" s="6"/>
      <c r="BU5" s="12"/>
      <c r="BV5" s="11"/>
      <c r="BW5" s="11"/>
      <c r="BX5" s="11"/>
      <c r="BY5" s="11"/>
      <c r="BZ5" s="11"/>
      <c r="CA5" s="11"/>
      <c r="CB5" s="11"/>
      <c r="CC5" s="11"/>
      <c r="CD5" s="11"/>
      <c r="CE5" s="11"/>
      <c r="CF5" s="10"/>
      <c r="CO5" s="6"/>
      <c r="CP5" s="12"/>
      <c r="CQ5" s="11"/>
      <c r="CR5" s="11"/>
      <c r="CS5" s="11"/>
      <c r="CT5" s="11"/>
      <c r="CU5" s="11"/>
      <c r="CV5" s="11"/>
      <c r="CW5" s="11"/>
      <c r="CX5" s="11"/>
      <c r="CY5" s="11"/>
      <c r="CZ5" s="11"/>
      <c r="DA5" s="10"/>
      <c r="DJ5" s="6"/>
      <c r="DK5" s="12"/>
      <c r="DL5" s="11"/>
      <c r="DM5" s="11"/>
      <c r="DN5" s="11"/>
      <c r="DO5" s="11"/>
      <c r="DP5" s="11"/>
      <c r="DQ5" s="11"/>
      <c r="DR5" s="11"/>
      <c r="DS5" s="11"/>
      <c r="DT5" s="11"/>
      <c r="DU5" s="11"/>
      <c r="DV5" s="10"/>
    </row>
    <row r="6" spans="3:126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</v>
      </c>
      <c r="J6" s="79"/>
      <c r="K6" s="80">
        <f t="shared" ref="K6" si="0">SUM(L6:U6)</f>
        <v>10</v>
      </c>
      <c r="L6" s="81">
        <v>10</v>
      </c>
      <c r="M6" s="81"/>
      <c r="N6" s="81"/>
      <c r="O6" s="81"/>
      <c r="P6" s="81"/>
      <c r="Q6" s="81"/>
      <c r="R6" s="81"/>
      <c r="S6" s="81"/>
      <c r="T6" s="81"/>
      <c r="U6" s="81"/>
      <c r="V6" s="34"/>
      <c r="Z6" s="13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U6" s="13"/>
      <c r="AY6" s="16"/>
      <c r="AZ6" s="15"/>
      <c r="BA6" s="15"/>
      <c r="BB6" s="15"/>
      <c r="BC6" s="15"/>
      <c r="BD6" s="15"/>
      <c r="BE6" s="15"/>
      <c r="BF6" s="15"/>
      <c r="BG6" s="15"/>
      <c r="BH6" s="15"/>
      <c r="BI6" s="15"/>
      <c r="BJ6" s="15"/>
      <c r="BK6" s="15"/>
      <c r="BP6" s="13"/>
      <c r="BT6" s="16"/>
      <c r="BU6" s="15"/>
      <c r="BV6" s="15"/>
      <c r="BW6" s="15"/>
      <c r="BX6" s="15"/>
      <c r="BY6" s="15"/>
      <c r="BZ6" s="15"/>
      <c r="CA6" s="15"/>
      <c r="CB6" s="15"/>
      <c r="CC6" s="15"/>
      <c r="CD6" s="15"/>
      <c r="CE6" s="15"/>
      <c r="CF6" s="15"/>
      <c r="CK6" s="13"/>
      <c r="CO6" s="16"/>
      <c r="CP6" s="15"/>
      <c r="CQ6" s="15"/>
      <c r="CR6" s="15"/>
      <c r="CS6" s="15"/>
      <c r="CT6" s="15"/>
      <c r="CU6" s="15"/>
      <c r="CV6" s="15"/>
      <c r="CW6" s="15"/>
      <c r="CX6" s="15"/>
      <c r="CY6" s="15"/>
      <c r="CZ6" s="15"/>
      <c r="DA6" s="15"/>
      <c r="DF6" s="13"/>
      <c r="DJ6" s="16"/>
      <c r="DK6" s="15"/>
      <c r="DL6" s="15"/>
      <c r="DM6" s="15"/>
      <c r="DN6" s="15"/>
      <c r="DO6" s="15"/>
      <c r="DP6" s="15"/>
      <c r="DQ6" s="15"/>
      <c r="DR6" s="15"/>
      <c r="DS6" s="15"/>
      <c r="DT6" s="15"/>
      <c r="DU6" s="15"/>
      <c r="DV6" s="15"/>
    </row>
    <row r="7" spans="3:126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" si="1">IF(K7/K$6-J7&gt;=0, K7/K$6-J7, 0)</f>
        <v>0.4</v>
      </c>
      <c r="I7" s="20">
        <f>IF(ISOVERMAX(L7:U7)=1,"INVALID MARK",IF(ISOVERMAX(L7:U7)=2,"INVALID ENTRY",IF(COUNT(L7:U7)&lt;COUNT(L$6:U$6),"MISSING MARK",(H7-J7)*K$6)))</f>
        <v>4</v>
      </c>
      <c r="J7" s="28">
        <v>0</v>
      </c>
      <c r="K7" s="24">
        <f t="shared" ref="K7" si="2">SUM(L7:U7)</f>
        <v>4</v>
      </c>
      <c r="L7" s="9">
        <v>4</v>
      </c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Y7" s="18"/>
      <c r="AZ7" s="17"/>
      <c r="BA7" s="9"/>
      <c r="BB7" s="9"/>
      <c r="BC7" s="9"/>
      <c r="BD7" s="9"/>
      <c r="BE7" s="9"/>
      <c r="BF7" s="9"/>
      <c r="BG7" s="9"/>
      <c r="BH7" s="9"/>
      <c r="BI7" s="9"/>
      <c r="BJ7" s="9"/>
      <c r="BK7" s="8"/>
      <c r="BT7" s="18"/>
      <c r="BU7" s="17"/>
      <c r="BV7" s="9"/>
      <c r="BW7" s="9"/>
      <c r="BX7" s="9"/>
      <c r="BY7" s="9"/>
      <c r="BZ7" s="9"/>
      <c r="CA7" s="9"/>
      <c r="CB7" s="9"/>
      <c r="CC7" s="9"/>
      <c r="CD7" s="9"/>
      <c r="CE7" s="9"/>
      <c r="CF7" s="8"/>
      <c r="CO7" s="18"/>
      <c r="CP7" s="17"/>
      <c r="CQ7" s="9"/>
      <c r="CR7" s="9"/>
      <c r="CS7" s="9"/>
      <c r="CT7" s="9"/>
      <c r="CU7" s="9"/>
      <c r="CV7" s="9"/>
      <c r="CW7" s="9"/>
      <c r="CX7" s="9"/>
      <c r="CY7" s="9"/>
      <c r="CZ7" s="9"/>
      <c r="DA7" s="8"/>
      <c r="DJ7" s="18"/>
      <c r="DK7" s="17"/>
      <c r="DL7" s="9"/>
      <c r="DM7" s="9"/>
      <c r="DN7" s="9"/>
      <c r="DO7" s="9"/>
      <c r="DP7" s="9"/>
      <c r="DQ7" s="9"/>
      <c r="DR7" s="9"/>
      <c r="DS7" s="9"/>
      <c r="DT7" s="9"/>
      <c r="DU7" s="9"/>
      <c r="DV7" s="8"/>
    </row>
    <row r="8" spans="3:126" x14ac:dyDescent="0.25"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ref="H8:H10" si="4">IF(K8/K$6-J8&gt;=0, K8/K$6-J8, 0)</f>
        <v>0.8</v>
      </c>
      <c r="I8" s="20">
        <f>IF(ISOVERMAX(L8:U8)=1,"INVALID MARK",IF(ISOVERMAX(L8:U8)=2,"INVALID ENTRY",IF(COUNT(L8:U8)&lt;COUNT(L$6:U$6),"MISSING MARK",(H8-J8)*K$6)))</f>
        <v>8</v>
      </c>
      <c r="J8" s="28">
        <v>0</v>
      </c>
      <c r="K8" s="24">
        <f t="shared" ref="K8:K10" si="5">SUM(L8:U8)</f>
        <v>8</v>
      </c>
      <c r="L8" s="9">
        <v>8</v>
      </c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Y8" s="18"/>
      <c r="AZ8" s="17"/>
      <c r="BA8" s="9"/>
      <c r="BB8" s="9"/>
      <c r="BC8" s="9"/>
      <c r="BD8" s="9"/>
      <c r="BE8" s="9"/>
      <c r="BF8" s="9"/>
      <c r="BG8" s="9"/>
      <c r="BH8" s="9"/>
      <c r="BI8" s="9"/>
      <c r="BJ8" s="9"/>
      <c r="BK8" s="8"/>
      <c r="BT8" s="18"/>
      <c r="BU8" s="17"/>
      <c r="BV8" s="9"/>
      <c r="BW8" s="9"/>
      <c r="BX8" s="9"/>
      <c r="BY8" s="9"/>
      <c r="BZ8" s="9"/>
      <c r="CA8" s="9"/>
      <c r="CB8" s="9"/>
      <c r="CC8" s="9"/>
      <c r="CD8" s="9"/>
      <c r="CE8" s="9"/>
      <c r="CF8" s="8"/>
      <c r="CO8" s="18"/>
      <c r="CP8" s="17"/>
      <c r="CQ8" s="9"/>
      <c r="CR8" s="9"/>
      <c r="CS8" s="9"/>
      <c r="CT8" s="9"/>
      <c r="CU8" s="9"/>
      <c r="CV8" s="9"/>
      <c r="CW8" s="9"/>
      <c r="CX8" s="9"/>
      <c r="CY8" s="9"/>
      <c r="CZ8" s="9"/>
      <c r="DA8" s="8"/>
      <c r="DJ8" s="18"/>
      <c r="DK8" s="17"/>
      <c r="DL8" s="9"/>
      <c r="DM8" s="9"/>
      <c r="DN8" s="9"/>
      <c r="DO8" s="9"/>
      <c r="DP8" s="9"/>
      <c r="DQ8" s="9"/>
      <c r="DR8" s="9"/>
      <c r="DS8" s="9"/>
      <c r="DT8" s="9"/>
      <c r="DU8" s="9"/>
      <c r="DV8" s="8"/>
    </row>
    <row r="9" spans="3:126" x14ac:dyDescent="0.25"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4"/>
        <v>0.4</v>
      </c>
      <c r="I9" s="20">
        <f>IF(ISOVERMAX(L9:U9)=1,"INVALID MARK",IF(ISOVERMAX(L9:U9)=2,"INVALID ENTRY",IF(COUNT(L9:U9)&lt;COUNT(L$6:U$6),"MISSING MARK",(H9-J9)*K$6)))</f>
        <v>4</v>
      </c>
      <c r="J9" s="28">
        <v>0</v>
      </c>
      <c r="K9" s="24">
        <f t="shared" si="5"/>
        <v>4</v>
      </c>
      <c r="L9" s="9">
        <v>4</v>
      </c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Y9" s="18"/>
      <c r="AZ9" s="17"/>
      <c r="BA9" s="9"/>
      <c r="BB9" s="9"/>
      <c r="BC9" s="9"/>
      <c r="BD9" s="9"/>
      <c r="BE9" s="9"/>
      <c r="BF9" s="9"/>
      <c r="BG9" s="9"/>
      <c r="BH9" s="9"/>
      <c r="BI9" s="9"/>
      <c r="BJ9" s="9"/>
      <c r="BK9" s="8"/>
      <c r="BT9" s="18"/>
      <c r="BU9" s="17"/>
      <c r="BV9" s="9"/>
      <c r="BW9" s="9"/>
      <c r="BX9" s="9"/>
      <c r="BY9" s="9"/>
      <c r="BZ9" s="9"/>
      <c r="CA9" s="9"/>
      <c r="CB9" s="9"/>
      <c r="CC9" s="9"/>
      <c r="CD9" s="9"/>
      <c r="CE9" s="9"/>
      <c r="CF9" s="8"/>
      <c r="CO9" s="18"/>
      <c r="CP9" s="17"/>
      <c r="CQ9" s="9"/>
      <c r="CR9" s="9"/>
      <c r="CS9" s="9"/>
      <c r="CT9" s="9"/>
      <c r="CU9" s="9"/>
      <c r="CV9" s="9"/>
      <c r="CW9" s="9"/>
      <c r="CX9" s="9"/>
      <c r="CY9" s="9"/>
      <c r="CZ9" s="9"/>
      <c r="DA9" s="8"/>
      <c r="DJ9" s="18"/>
      <c r="DK9" s="17"/>
      <c r="DL9" s="9"/>
      <c r="DM9" s="9"/>
      <c r="DN9" s="9"/>
      <c r="DO9" s="9"/>
      <c r="DP9" s="9"/>
      <c r="DQ9" s="9"/>
      <c r="DR9" s="9"/>
      <c r="DS9" s="9"/>
      <c r="DT9" s="9"/>
      <c r="DU9" s="9"/>
      <c r="DV9" s="8"/>
    </row>
    <row r="10" spans="3:126" x14ac:dyDescent="0.25"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4"/>
        <v>0.5</v>
      </c>
      <c r="I10" s="20">
        <f>IF(ISOVERMAX(L10:U10)=1,"INVALID MARK",IF(ISOVERMAX(L10:U10)=2,"INVALID ENTRY",IF(COUNT(L10:U10)&lt;COUNT(L$6:U$6),"MISSING MARK",(H10-J10)*K$6)))</f>
        <v>5</v>
      </c>
      <c r="J10" s="28">
        <v>0</v>
      </c>
      <c r="K10" s="24">
        <f t="shared" si="5"/>
        <v>5</v>
      </c>
      <c r="L10" s="9">
        <v>5</v>
      </c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Y10" s="18"/>
      <c r="AZ10" s="17"/>
      <c r="BA10" s="9"/>
      <c r="BB10" s="9"/>
      <c r="BC10" s="9"/>
      <c r="BD10" s="9"/>
      <c r="BE10" s="9"/>
      <c r="BF10" s="9"/>
      <c r="BG10" s="9"/>
      <c r="BH10" s="9"/>
      <c r="BI10" s="9"/>
      <c r="BJ10" s="9"/>
      <c r="BK10" s="8"/>
      <c r="BT10" s="18"/>
      <c r="BU10" s="17"/>
      <c r="BV10" s="9"/>
      <c r="BW10" s="9"/>
      <c r="BX10" s="9"/>
      <c r="BY10" s="9"/>
      <c r="BZ10" s="9"/>
      <c r="CA10" s="9"/>
      <c r="CB10" s="9"/>
      <c r="CC10" s="9"/>
      <c r="CD10" s="9"/>
      <c r="CE10" s="9"/>
      <c r="CF10" s="8"/>
      <c r="CO10" s="18"/>
      <c r="CP10" s="17"/>
      <c r="CQ10" s="9"/>
      <c r="CR10" s="9"/>
      <c r="CS10" s="9"/>
      <c r="CT10" s="9"/>
      <c r="CU10" s="9"/>
      <c r="CV10" s="9"/>
      <c r="CW10" s="9"/>
      <c r="CX10" s="9"/>
      <c r="CY10" s="9"/>
      <c r="CZ10" s="9"/>
      <c r="DA10" s="8"/>
      <c r="DJ10" s="18"/>
      <c r="DK10" s="17"/>
      <c r="DL10" s="9"/>
      <c r="DM10" s="9"/>
      <c r="DN10" s="9"/>
      <c r="DO10" s="9"/>
      <c r="DP10" s="9"/>
      <c r="DQ10" s="9"/>
      <c r="DR10" s="9"/>
      <c r="DS10" s="9"/>
      <c r="DT10" s="9"/>
      <c r="DU10" s="9"/>
      <c r="DV10" s="8"/>
    </row>
    <row r="11" spans="3:126" x14ac:dyDescent="0.25">
      <c r="D11" s="2" t="str">
        <f t="shared" ref="D11:D15" si="6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7">IF(K11/K$6-J11&gt;=0, K11/K$6-J11, 0)</f>
        <v>0.6</v>
      </c>
      <c r="I11" s="20">
        <f>IF(ISOVERMAX(L11:U11)=1,"INVALID MARK",IF(ISOVERMAX(L11:U11)=2,"INVALID ENTRY",IF(COUNT(L11:U11)&lt;COUNT(L$6:U$6),"MISSING MARK",(H11-J11)*K$6)))</f>
        <v>6</v>
      </c>
      <c r="J11" s="28">
        <v>0</v>
      </c>
      <c r="K11" s="24">
        <f t="shared" ref="K11:K15" si="8">SUM(L11:U11)</f>
        <v>6</v>
      </c>
      <c r="L11" s="9">
        <v>6</v>
      </c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Y11" s="18"/>
      <c r="AZ11" s="17"/>
      <c r="BA11" s="9"/>
      <c r="BB11" s="9"/>
      <c r="BC11" s="9"/>
      <c r="BD11" s="9"/>
      <c r="BE11" s="9"/>
      <c r="BF11" s="9"/>
      <c r="BG11" s="9"/>
      <c r="BH11" s="9"/>
      <c r="BI11" s="9"/>
      <c r="BJ11" s="9"/>
      <c r="BK11" s="8"/>
      <c r="BT11" s="18"/>
      <c r="BU11" s="17"/>
      <c r="BV11" s="9"/>
      <c r="BW11" s="9"/>
      <c r="BX11" s="9"/>
      <c r="BY11" s="9"/>
      <c r="BZ11" s="9"/>
      <c r="CA11" s="9"/>
      <c r="CB11" s="9"/>
      <c r="CC11" s="9"/>
      <c r="CD11" s="9"/>
      <c r="CE11" s="9"/>
      <c r="CF11" s="8"/>
      <c r="CO11" s="18"/>
      <c r="CP11" s="17"/>
      <c r="CQ11" s="9"/>
      <c r="CR11" s="9"/>
      <c r="CS11" s="9"/>
      <c r="CT11" s="9"/>
      <c r="CU11" s="9"/>
      <c r="CV11" s="9"/>
      <c r="CW11" s="9"/>
      <c r="CX11" s="9"/>
      <c r="CY11" s="9"/>
      <c r="CZ11" s="9"/>
      <c r="DA11" s="8"/>
      <c r="DJ11" s="18"/>
      <c r="DK11" s="17"/>
      <c r="DL11" s="9"/>
      <c r="DM11" s="9"/>
      <c r="DN11" s="9"/>
      <c r="DO11" s="9"/>
      <c r="DP11" s="9"/>
      <c r="DQ11" s="9"/>
      <c r="DR11" s="9"/>
      <c r="DS11" s="9"/>
      <c r="DT11" s="9"/>
      <c r="DU11" s="9"/>
      <c r="DV11" s="8"/>
    </row>
    <row r="12" spans="3:126" x14ac:dyDescent="0.25">
      <c r="D12" s="2" t="str">
        <f t="shared" si="6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7"/>
        <v>0.35000000000000003</v>
      </c>
      <c r="I12" s="20">
        <f>IF(ISOVERMAX(L12:U12)=1,"INVALID MARK",IF(ISOVERMAX(L12:U12)=2,"INVALID ENTRY",IF(COUNT(L12:U12)&lt;COUNT(L$6:U$6),"MISSING MARK",(H12-J12)*K$6)))</f>
        <v>3.0000000000000004</v>
      </c>
      <c r="J12" s="28">
        <v>0.05</v>
      </c>
      <c r="K12" s="24">
        <f t="shared" si="8"/>
        <v>4</v>
      </c>
      <c r="L12" s="9">
        <v>4</v>
      </c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Y12" s="18"/>
      <c r="AZ12" s="17"/>
      <c r="BA12" s="9"/>
      <c r="BB12" s="9"/>
      <c r="BC12" s="9"/>
      <c r="BD12" s="9"/>
      <c r="BE12" s="9"/>
      <c r="BF12" s="9"/>
      <c r="BG12" s="9"/>
      <c r="BH12" s="9"/>
      <c r="BI12" s="9"/>
      <c r="BJ12" s="9"/>
      <c r="BK12" s="8"/>
      <c r="BT12" s="18"/>
      <c r="BU12" s="17"/>
      <c r="BV12" s="9"/>
      <c r="BW12" s="9"/>
      <c r="BX12" s="9"/>
      <c r="BY12" s="9"/>
      <c r="BZ12" s="9"/>
      <c r="CA12" s="9"/>
      <c r="CB12" s="9"/>
      <c r="CC12" s="9"/>
      <c r="CD12" s="9"/>
      <c r="CE12" s="9"/>
      <c r="CF12" s="8"/>
      <c r="CO12" s="18"/>
      <c r="CP12" s="17"/>
      <c r="CQ12" s="9"/>
      <c r="CR12" s="9"/>
      <c r="CS12" s="9"/>
      <c r="CT12" s="9"/>
      <c r="CU12" s="9"/>
      <c r="CV12" s="9"/>
      <c r="CW12" s="9"/>
      <c r="CX12" s="9"/>
      <c r="CY12" s="9"/>
      <c r="CZ12" s="9"/>
      <c r="DA12" s="8"/>
      <c r="DJ12" s="18"/>
      <c r="DK12" s="17"/>
      <c r="DL12" s="9"/>
      <c r="DM12" s="9"/>
      <c r="DN12" s="9"/>
      <c r="DO12" s="9"/>
      <c r="DP12" s="9"/>
      <c r="DQ12" s="9"/>
      <c r="DR12" s="9"/>
      <c r="DS12" s="9"/>
      <c r="DT12" s="9"/>
      <c r="DU12" s="9"/>
      <c r="DV12" s="8"/>
    </row>
    <row r="13" spans="3:126" x14ac:dyDescent="0.25">
      <c r="D13" s="2" t="str">
        <f t="shared" si="6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7"/>
        <v>0.6</v>
      </c>
      <c r="I13" s="20">
        <f>IF(ISOVERMAX(L13:U13)=1,"INVALID MARK",IF(ISOVERMAX(L13:U13)=2,"INVALID ENTRY",IF(COUNT(L13:U13)&lt;COUNT(L$6:U$6),"MISSING MARK",(H13-J13)*K$6)))</f>
        <v>6</v>
      </c>
      <c r="J13" s="28">
        <v>0</v>
      </c>
      <c r="K13" s="24">
        <f t="shared" si="8"/>
        <v>6</v>
      </c>
      <c r="L13" s="9">
        <v>6</v>
      </c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Y13" s="18"/>
      <c r="AZ13" s="17"/>
      <c r="BA13" s="9"/>
      <c r="BB13" s="9"/>
      <c r="BC13" s="9"/>
      <c r="BD13" s="9"/>
      <c r="BE13" s="9"/>
      <c r="BF13" s="9"/>
      <c r="BG13" s="9"/>
      <c r="BH13" s="9"/>
      <c r="BI13" s="9"/>
      <c r="BJ13" s="9"/>
      <c r="BK13" s="8"/>
      <c r="BT13" s="18"/>
      <c r="BU13" s="17"/>
      <c r="BV13" s="9"/>
      <c r="BW13" s="9"/>
      <c r="BX13" s="9"/>
      <c r="BY13" s="9"/>
      <c r="BZ13" s="9"/>
      <c r="CA13" s="9"/>
      <c r="CB13" s="9"/>
      <c r="CC13" s="9"/>
      <c r="CD13" s="9"/>
      <c r="CE13" s="9"/>
      <c r="CF13" s="8"/>
      <c r="CO13" s="18"/>
      <c r="CP13" s="17"/>
      <c r="CQ13" s="9"/>
      <c r="CR13" s="9"/>
      <c r="CS13" s="9"/>
      <c r="CT13" s="9"/>
      <c r="CU13" s="9"/>
      <c r="CV13" s="9"/>
      <c r="CW13" s="9"/>
      <c r="CX13" s="9"/>
      <c r="CY13" s="9"/>
      <c r="CZ13" s="9"/>
      <c r="DA13" s="8"/>
      <c r="DJ13" s="18"/>
      <c r="DK13" s="17"/>
      <c r="DL13" s="9"/>
      <c r="DM13" s="9"/>
      <c r="DN13" s="9"/>
      <c r="DO13" s="9"/>
      <c r="DP13" s="9"/>
      <c r="DQ13" s="9"/>
      <c r="DR13" s="9"/>
      <c r="DS13" s="9"/>
      <c r="DT13" s="9"/>
      <c r="DU13" s="9"/>
      <c r="DV13" s="8"/>
    </row>
    <row r="14" spans="3:126" x14ac:dyDescent="0.25">
      <c r="D14" s="2" t="str">
        <f t="shared" si="6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7"/>
        <v>5.6</v>
      </c>
      <c r="I14" s="20">
        <f>IF(ISOVERMAX(L14:U14)=1,"INVALID MARK",IF(ISOVERMAX(L14:U14)=2,"INVALID ENTRY",IF(COUNT(L14:U14)&lt;COUNT(L$6:U$6),"MISSING MARK",(H14-J14)*K$6)))</f>
        <v>56</v>
      </c>
      <c r="J14" s="28">
        <v>0</v>
      </c>
      <c r="K14" s="24">
        <f t="shared" si="8"/>
        <v>56</v>
      </c>
      <c r="L14" s="9">
        <v>56</v>
      </c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Y14" s="18"/>
      <c r="AZ14" s="17"/>
      <c r="BA14" s="9"/>
      <c r="BB14" s="9"/>
      <c r="BC14" s="9"/>
      <c r="BD14" s="9"/>
      <c r="BE14" s="9"/>
      <c r="BF14" s="9"/>
      <c r="BG14" s="9"/>
      <c r="BH14" s="9"/>
      <c r="BI14" s="9"/>
      <c r="BJ14" s="9"/>
      <c r="BK14" s="8"/>
      <c r="BT14" s="18"/>
      <c r="BU14" s="17"/>
      <c r="BV14" s="9"/>
      <c r="BW14" s="9"/>
      <c r="BX14" s="9"/>
      <c r="BY14" s="9"/>
      <c r="BZ14" s="9"/>
      <c r="CA14" s="9"/>
      <c r="CB14" s="9"/>
      <c r="CC14" s="9"/>
      <c r="CD14" s="9"/>
      <c r="CE14" s="9"/>
      <c r="CF14" s="8"/>
      <c r="CO14" s="18"/>
      <c r="CP14" s="17"/>
      <c r="CQ14" s="9"/>
      <c r="CR14" s="9"/>
      <c r="CS14" s="9"/>
      <c r="CT14" s="9"/>
      <c r="CU14" s="9"/>
      <c r="CV14" s="9"/>
      <c r="CW14" s="9"/>
      <c r="CX14" s="9"/>
      <c r="CY14" s="9"/>
      <c r="CZ14" s="9"/>
      <c r="DA14" s="8"/>
      <c r="DJ14" s="18"/>
      <c r="DK14" s="17"/>
      <c r="DL14" s="9"/>
      <c r="DM14" s="9"/>
      <c r="DN14" s="9"/>
      <c r="DO14" s="9"/>
      <c r="DP14" s="9"/>
      <c r="DQ14" s="9"/>
      <c r="DR14" s="9"/>
      <c r="DS14" s="9"/>
      <c r="DT14" s="9"/>
      <c r="DU14" s="9"/>
      <c r="DV14" s="8"/>
    </row>
    <row r="15" spans="3:126" x14ac:dyDescent="0.25">
      <c r="D15" s="2" t="str">
        <f t="shared" si="6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7"/>
        <v>0.9</v>
      </c>
      <c r="I15" s="20">
        <f>IF(ISOVERMAX(L15:U15)=1,"INVALID MARK",IF(ISOVERMAX(L15:U15)=2,"INVALID ENTRY",IF(COUNT(L15:U15)&lt;COUNT(L$6:U$6),"MISSING MARK",(H15-J15)*K$6)))</f>
        <v>9</v>
      </c>
      <c r="J15" s="28">
        <v>0</v>
      </c>
      <c r="K15" s="24">
        <f t="shared" si="8"/>
        <v>9</v>
      </c>
      <c r="L15" s="9">
        <v>9</v>
      </c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Y15" s="18"/>
      <c r="AZ15" s="17"/>
      <c r="BA15" s="9"/>
      <c r="BB15" s="9"/>
      <c r="BC15" s="9"/>
      <c r="BD15" s="9"/>
      <c r="BE15" s="9"/>
      <c r="BF15" s="9"/>
      <c r="BG15" s="9"/>
      <c r="BH15" s="9"/>
      <c r="BI15" s="9"/>
      <c r="BJ15" s="9"/>
      <c r="BK15" s="8"/>
      <c r="BT15" s="18"/>
      <c r="BU15" s="17"/>
      <c r="BV15" s="9"/>
      <c r="BW15" s="9"/>
      <c r="BX15" s="9"/>
      <c r="BY15" s="9"/>
      <c r="BZ15" s="9"/>
      <c r="CA15" s="9"/>
      <c r="CB15" s="9"/>
      <c r="CC15" s="9"/>
      <c r="CD15" s="9"/>
      <c r="CE15" s="9"/>
      <c r="CF15" s="8"/>
      <c r="CO15" s="18"/>
      <c r="CP15" s="17"/>
      <c r="CQ15" s="9"/>
      <c r="CR15" s="9"/>
      <c r="CS15" s="9"/>
      <c r="CT15" s="9"/>
      <c r="CU15" s="9"/>
      <c r="CV15" s="9"/>
      <c r="CW15" s="9"/>
      <c r="CX15" s="9"/>
      <c r="CY15" s="9"/>
      <c r="CZ15" s="9"/>
      <c r="DA15" s="8"/>
      <c r="DJ15" s="18"/>
      <c r="DK15" s="17"/>
      <c r="DL15" s="9"/>
      <c r="DM15" s="9"/>
      <c r="DN15" s="9"/>
      <c r="DO15" s="9"/>
      <c r="DP15" s="9"/>
      <c r="DQ15" s="9"/>
      <c r="DR15" s="9"/>
      <c r="DS15" s="9"/>
      <c r="DT15" s="9"/>
      <c r="DU15" s="9"/>
      <c r="DV15" s="8"/>
    </row>
    <row r="16" spans="3:126" x14ac:dyDescent="0.25">
      <c r="D16" s="2" t="str">
        <f t="shared" ref="D16" si="9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10">IF(K16/K$6-J16&gt;=0, K16/K$6-J16, 0)</f>
        <v>1</v>
      </c>
      <c r="I16" s="20">
        <f>IF(ISOVERMAX(L16:U16)=1,"INVALID MARK",IF(ISOVERMAX(L16:U16)=2,"INVALID ENTRY",IF(COUNT(L16:U16)&lt;COUNT(L$6:U$6),"MISSING MARK",(H16-J16)*K$6)))</f>
        <v>10</v>
      </c>
      <c r="J16" s="28">
        <v>0</v>
      </c>
      <c r="K16" s="24">
        <f t="shared" ref="K16" si="11">SUM(L16:U16)</f>
        <v>10</v>
      </c>
      <c r="L16" s="9">
        <v>10</v>
      </c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Y16" s="18"/>
      <c r="AZ16" s="17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8"/>
      <c r="BT16" s="18"/>
      <c r="BU16" s="17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8"/>
      <c r="CO16" s="18"/>
      <c r="CP16" s="17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8"/>
      <c r="DJ16" s="18"/>
      <c r="DK16" s="17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8"/>
    </row>
    <row r="17" spans="4:126" x14ac:dyDescent="0.25">
      <c r="D17" s="2" t="str">
        <f t="shared" ref="D17" si="12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3">IF(K17/K$6-J17&gt;=0, K17/K$6-J17, 0)</f>
        <v>0.7</v>
      </c>
      <c r="I17" s="20">
        <f>IF(ISOVERMAX(L17:U17)=1,"INVALID MARK",IF(ISOVERMAX(L17:U17)=2,"INVALID ENTRY",IF(COUNT(L17:U17)&lt;COUNT(L$6:U$6),"MISSING MARK",(H17-J17)*K$6)))</f>
        <v>7</v>
      </c>
      <c r="J17" s="28">
        <v>0</v>
      </c>
      <c r="K17" s="24">
        <f t="shared" ref="K17" si="14">SUM(L17:U17)</f>
        <v>7</v>
      </c>
      <c r="L17" s="9">
        <v>7</v>
      </c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Y17" s="18"/>
      <c r="AZ17" s="17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8"/>
      <c r="BT17" s="18"/>
      <c r="BU17" s="17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8"/>
      <c r="CO17" s="18"/>
      <c r="CP17" s="17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8"/>
      <c r="DJ17" s="18"/>
      <c r="DK17" s="17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8"/>
    </row>
  </sheetData>
  <mergeCells count="1">
    <mergeCell ref="F4:G4"/>
  </mergeCells>
  <conditionalFormatting sqref="I7:I17">
    <cfRule type="containsText" dxfId="66" priority="416" operator="containsText" text="INVALID MARK">
      <formula>NOT(ISERROR(SEARCH("INVALID MARK",I7)))</formula>
    </cfRule>
    <cfRule type="containsText" dxfId="65" priority="417" operator="containsText" text="INVALID ENTRY">
      <formula>NOT(ISERROR(SEARCH("INVALID ENTRY",I7)))</formula>
    </cfRule>
    <cfRule type="containsText" dxfId="64" priority="418" operator="containsText" text="MISSING MARK">
      <formula>NOT(ISERROR(SEARCH("MISSING MARK",I7)))</formula>
    </cfRule>
  </conditionalFormatting>
  <conditionalFormatting sqref="D7">
    <cfRule type="containsText" dxfId="63" priority="246" operator="containsText" text="FAIL">
      <formula>NOT(ISERROR(SEARCH("FAIL",D7)))</formula>
    </cfRule>
    <cfRule type="containsText" dxfId="62" priority="247" operator="containsText" text="PASS">
      <formula>NOT(ISERROR(SEARCH("PASS",D7)))</formula>
    </cfRule>
  </conditionalFormatting>
  <conditionalFormatting sqref="D8:D10">
    <cfRule type="containsText" dxfId="61" priority="231" operator="containsText" text="FAIL">
      <formula>NOT(ISERROR(SEARCH("FAIL",D8)))</formula>
    </cfRule>
    <cfRule type="containsText" dxfId="60" priority="232" operator="containsText" text="PASS">
      <formula>NOT(ISERROR(SEARCH("PASS",D8)))</formula>
    </cfRule>
  </conditionalFormatting>
  <conditionalFormatting sqref="D11:D15">
    <cfRule type="containsText" dxfId="59" priority="226" operator="containsText" text="FAIL">
      <formula>NOT(ISERROR(SEARCH("FAIL",D11)))</formula>
    </cfRule>
    <cfRule type="containsText" dxfId="58" priority="227" operator="containsText" text="PASS">
      <formula>NOT(ISERROR(SEARCH("PASS",D11)))</formula>
    </cfRule>
  </conditionalFormatting>
  <conditionalFormatting sqref="D16">
    <cfRule type="containsText" dxfId="57" priority="221" operator="containsText" text="FAIL">
      <formula>NOT(ISERROR(SEARCH("FAIL",D16)))</formula>
    </cfRule>
    <cfRule type="containsText" dxfId="56" priority="222" operator="containsText" text="PASS">
      <formula>NOT(ISERROR(SEARCH("PASS",D16)))</formula>
    </cfRule>
  </conditionalFormatting>
  <conditionalFormatting sqref="D17">
    <cfRule type="containsText" dxfId="55" priority="201" operator="containsText" text="FAIL">
      <formula>NOT(ISERROR(SEARCH("FAIL",D17)))</formula>
    </cfRule>
    <cfRule type="containsText" dxfId="54" priority="202" operator="containsText" text="PASS">
      <formula>NOT(ISERROR(SEARCH("PASS",D17)))</formula>
    </cfRule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A9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2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30</v>
      </c>
      <c r="J6" s="79"/>
      <c r="K6" s="80">
        <f t="shared" ref="K6" si="0">SUM(L6:U6)</f>
        <v>30</v>
      </c>
      <c r="L6" s="81">
        <v>10</v>
      </c>
      <c r="M6" s="81">
        <v>15</v>
      </c>
      <c r="N6" s="81">
        <v>5</v>
      </c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0.68333333333333335</v>
      </c>
      <c r="I7" s="20">
        <f>IF(ISOVERMAX(L7:U7)=1,"INVALID MARK",IF(ISOVERMAX(L7:U7)=2,"INVALID ENTRY",IF(COUNT(L7:U7)&lt;COUNT(L$6:U$6),"MISSING MARK",(H7-J7)*K$6)))</f>
        <v>20.5</v>
      </c>
      <c r="J7" s="28">
        <v>0</v>
      </c>
      <c r="K7" s="24">
        <f t="shared" ref="K7:K10" si="2">SUM(L7:U7)</f>
        <v>20.5</v>
      </c>
      <c r="L7" s="9">
        <v>6.5</v>
      </c>
      <c r="M7" s="9">
        <v>10</v>
      </c>
      <c r="N7" s="9">
        <v>4</v>
      </c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0.85</v>
      </c>
      <c r="I8" s="20">
        <f>IF(ISOVERMAX(L8:U8)=1,"INVALID MARK",IF(ISOVERMAX(L8:U8)=2,"INVALID ENTRY",IF(COUNT(L8:U8)&lt;COUNT(L$6:U$6),"MISSING MARK",(H8-J8)*K$6)))</f>
        <v>25.5</v>
      </c>
      <c r="J8" s="28">
        <v>0</v>
      </c>
      <c r="K8" s="24">
        <f t="shared" si="2"/>
        <v>25.5</v>
      </c>
      <c r="L8" s="9">
        <v>7.5</v>
      </c>
      <c r="M8" s="9">
        <v>13</v>
      </c>
      <c r="N8" s="9">
        <v>5</v>
      </c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0.35000000000000003</v>
      </c>
      <c r="I9" s="20">
        <f>IF(ISOVERMAX(L9:U9)=1,"INVALID MARK",IF(ISOVERMAX(L9:U9)=2,"INVALID ENTRY",IF(COUNT(L9:U9)&lt;COUNT(L$6:U$6),"MISSING MARK",(H9-J9)*K$6)))</f>
        <v>9.0000000000000018</v>
      </c>
      <c r="J9" s="28">
        <v>0.05</v>
      </c>
      <c r="K9" s="24">
        <f t="shared" si="2"/>
        <v>12</v>
      </c>
      <c r="L9" s="9">
        <v>6</v>
      </c>
      <c r="M9" s="9">
        <v>3</v>
      </c>
      <c r="N9" s="9">
        <v>3</v>
      </c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0.51666666666666661</v>
      </c>
      <c r="I10" s="20">
        <f>IF(ISOVERMAX(L10:U10)=1,"INVALID MARK",IF(ISOVERMAX(L10:U10)=2,"INVALID ENTRY",IF(COUNT(L10:U10)&lt;COUNT(L$6:U$6),"MISSING MARK",(H10-J10)*K$6)))</f>
        <v>13.999999999999998</v>
      </c>
      <c r="J10" s="28">
        <v>0.05</v>
      </c>
      <c r="K10" s="24">
        <f t="shared" si="2"/>
        <v>17</v>
      </c>
      <c r="L10" s="9">
        <v>6</v>
      </c>
      <c r="M10" s="9">
        <v>8</v>
      </c>
      <c r="N10" s="9">
        <v>3</v>
      </c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0.54999999999999993</v>
      </c>
      <c r="I11" s="20">
        <f>IF(ISOVERMAX(L11:U11)=1,"INVALID MARK",IF(ISOVERMAX(L11:U11)=2,"INVALID ENTRY",IF(COUNT(L11:U11)&lt;COUNT(L$6:U$6),"MISSING MARK",(H11-J11)*K$6)))</f>
        <v>14.999999999999998</v>
      </c>
      <c r="J11" s="28">
        <v>0.05</v>
      </c>
      <c r="K11" s="24">
        <f t="shared" ref="K11:K15" si="6">SUM(L11:U11)</f>
        <v>18</v>
      </c>
      <c r="L11" s="9">
        <v>3</v>
      </c>
      <c r="M11" s="9">
        <v>13</v>
      </c>
      <c r="N11" s="9">
        <v>2</v>
      </c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0.31666666666666665</v>
      </c>
      <c r="I12" s="20">
        <f>IF(ISOVERMAX(L12:U12)=1,"INVALID MARK",IF(ISOVERMAX(L12:U12)=2,"INVALID ENTRY",IF(COUNT(L12:U12)&lt;COUNT(L$6:U$6),"MISSING MARK",(H12-J12)*K$6)))</f>
        <v>8</v>
      </c>
      <c r="J12" s="28">
        <v>0.05</v>
      </c>
      <c r="K12" s="24">
        <f t="shared" si="6"/>
        <v>11</v>
      </c>
      <c r="L12" s="9">
        <v>3</v>
      </c>
      <c r="M12" s="9">
        <v>7</v>
      </c>
      <c r="N12" s="9">
        <v>1</v>
      </c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0.3666666666666667</v>
      </c>
      <c r="I13" s="20">
        <f>IF(ISOVERMAX(L13:U13)=1,"INVALID MARK",IF(ISOVERMAX(L13:U13)=2,"INVALID ENTRY",IF(COUNT(L13:U13)&lt;COUNT(L$6:U$6),"MISSING MARK",(H13-J13)*K$6)))</f>
        <v>9.5000000000000018</v>
      </c>
      <c r="J13" s="28">
        <v>0.05</v>
      </c>
      <c r="K13" s="24">
        <f t="shared" si="6"/>
        <v>12.5</v>
      </c>
      <c r="L13" s="9">
        <v>6.5</v>
      </c>
      <c r="M13" s="9"/>
      <c r="N13" s="9">
        <v>3</v>
      </c>
      <c r="O13" s="9"/>
      <c r="P13" s="9">
        <v>3</v>
      </c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0.56666666666666665</v>
      </c>
      <c r="I14" s="20">
        <f>IF(ISOVERMAX(L14:U14)=1,"INVALID MARK",IF(ISOVERMAX(L14:U14)=2,"INVALID ENTRY",IF(COUNT(L14:U14)&lt;COUNT(L$6:U$6),"MISSING MARK",(H14-J14)*K$6)))</f>
        <v>15.499999999999998</v>
      </c>
      <c r="J14" s="28">
        <v>0.05</v>
      </c>
      <c r="K14" s="24">
        <f t="shared" si="6"/>
        <v>18.5</v>
      </c>
      <c r="L14" s="9">
        <v>8</v>
      </c>
      <c r="M14" s="9">
        <v>7.5</v>
      </c>
      <c r="N14" s="9">
        <v>3</v>
      </c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0.41666666666666669</v>
      </c>
      <c r="I15" s="20">
        <f>IF(ISOVERMAX(L15:U15)=1,"INVALID MARK",IF(ISOVERMAX(L15:U15)=2,"INVALID ENTRY",IF(COUNT(L15:U15)&lt;COUNT(L$6:U$6),"MISSING MARK",(H15-J15)*K$6)))</f>
        <v>11</v>
      </c>
      <c r="J15" s="28">
        <v>0.05</v>
      </c>
      <c r="K15" s="24">
        <f t="shared" si="6"/>
        <v>14</v>
      </c>
      <c r="L15" s="9">
        <v>9</v>
      </c>
      <c r="M15" s="9">
        <v>5</v>
      </c>
      <c r="N15" s="9">
        <v>0</v>
      </c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0.64999999999999991</v>
      </c>
      <c r="I16" s="20">
        <f>IF(ISOVERMAX(L16:U16)=1,"INVALID MARK",IF(ISOVERMAX(L16:U16)=2,"INVALID ENTRY",IF(COUNT(L16:U16)&lt;COUNT(L$6:U$6),"MISSING MARK",(H16-J16)*K$6)))</f>
        <v>17.999999999999996</v>
      </c>
      <c r="J16" s="28">
        <v>0.05</v>
      </c>
      <c r="K16" s="24">
        <f t="shared" ref="K16" si="9">SUM(L16:U16)</f>
        <v>21</v>
      </c>
      <c r="L16" s="9">
        <v>8</v>
      </c>
      <c r="M16" s="9">
        <v>10</v>
      </c>
      <c r="N16" s="9">
        <v>3</v>
      </c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0.61666666666666659</v>
      </c>
      <c r="I17" s="20">
        <f>IF(ISOVERMAX(L17:U17)=1,"INVALID MARK",IF(ISOVERMAX(L17:U17)=2,"INVALID ENTRY",IF(COUNT(L17:U17)&lt;COUNT(L$6:U$6),"MISSING MARK",(H17-J17)*K$6)))</f>
        <v>16.999999999999996</v>
      </c>
      <c r="J17" s="28">
        <v>0.05</v>
      </c>
      <c r="K17" s="24">
        <f t="shared" ref="K17" si="12">SUM(L17:U17)</f>
        <v>20</v>
      </c>
      <c r="L17" s="9">
        <v>6</v>
      </c>
      <c r="M17" s="9">
        <v>12</v>
      </c>
      <c r="N17" s="9">
        <v>2</v>
      </c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</sheetData>
  <mergeCells count="1">
    <mergeCell ref="F4:G4"/>
  </mergeCells>
  <conditionalFormatting sqref="I7:I17">
    <cfRule type="containsText" dxfId="53" priority="238" operator="containsText" text="INVALID MARK">
      <formula>NOT(ISERROR(SEARCH("INVALID MARK",I7)))</formula>
    </cfRule>
    <cfRule type="containsText" dxfId="52" priority="239" operator="containsText" text="INVALID ENTRY">
      <formula>NOT(ISERROR(SEARCH("INVALID ENTRY",I7)))</formula>
    </cfRule>
    <cfRule type="containsText" dxfId="51" priority="240" operator="containsText" text="MISSING MARK">
      <formula>NOT(ISERROR(SEARCH("MISSING MARK",I7)))</formula>
    </cfRule>
  </conditionalFormatting>
  <conditionalFormatting sqref="D7">
    <cfRule type="containsText" dxfId="50" priority="236" operator="containsText" text="FAIL">
      <formula>NOT(ISERROR(SEARCH("FAIL",D7)))</formula>
    </cfRule>
    <cfRule type="containsText" dxfId="49" priority="237" operator="containsText" text="PASS">
      <formula>NOT(ISERROR(SEARCH("PASS",D7)))</formula>
    </cfRule>
  </conditionalFormatting>
  <conditionalFormatting sqref="D8:D10">
    <cfRule type="containsText" dxfId="48" priority="231" operator="containsText" text="FAIL">
      <formula>NOT(ISERROR(SEARCH("FAIL",D8)))</formula>
    </cfRule>
    <cfRule type="containsText" dxfId="47" priority="232" operator="containsText" text="PASS">
      <formula>NOT(ISERROR(SEARCH("PASS",D8)))</formula>
    </cfRule>
  </conditionalFormatting>
  <conditionalFormatting sqref="D11:D15">
    <cfRule type="containsText" dxfId="46" priority="226" operator="containsText" text="FAIL">
      <formula>NOT(ISERROR(SEARCH("FAIL",D11)))</formula>
    </cfRule>
    <cfRule type="containsText" dxfId="45" priority="227" operator="containsText" text="PASS">
      <formula>NOT(ISERROR(SEARCH("PASS",D11)))</formula>
    </cfRule>
  </conditionalFormatting>
  <conditionalFormatting sqref="D16">
    <cfRule type="containsText" dxfId="44" priority="221" operator="containsText" text="FAIL">
      <formula>NOT(ISERROR(SEARCH("FAIL",D16)))</formula>
    </cfRule>
    <cfRule type="containsText" dxfId="43" priority="222" operator="containsText" text="PASS">
      <formula>NOT(ISERROR(SEARCH("PASS",D16)))</formula>
    </cfRule>
  </conditionalFormatting>
  <conditionalFormatting sqref="D17">
    <cfRule type="containsText" dxfId="42" priority="201" operator="containsText" text="FAIL">
      <formula>NOT(ISERROR(SEARCH("FAIL",D17)))</formula>
    </cfRule>
    <cfRule type="containsText" dxfId="41" priority="20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A9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Oral Assignment 1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20</v>
      </c>
      <c r="J6" s="79"/>
      <c r="K6" s="80">
        <f t="shared" ref="K6" si="0">SUM(L6:U6)</f>
        <v>20</v>
      </c>
      <c r="L6" s="81">
        <v>10</v>
      </c>
      <c r="M6" s="81">
        <v>5</v>
      </c>
      <c r="N6" s="81">
        <v>3</v>
      </c>
      <c r="O6" s="81">
        <v>2</v>
      </c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0.8</v>
      </c>
      <c r="I7" s="20">
        <f>IF(ISOVERMAX(L7:U7)=1,"INVALID MARK",IF(ISOVERMAX(L7:U7)=2,"INVALID ENTRY",IF(COUNT(L7:U7)&lt;COUNT(L$6:U$6),"MISSING MARK",(H7-J7)*K$6)))</f>
        <v>16</v>
      </c>
      <c r="J7" s="28">
        <v>0</v>
      </c>
      <c r="K7" s="24">
        <f t="shared" ref="K7:K10" si="2">SUM(L7:U7)</f>
        <v>16</v>
      </c>
      <c r="L7" s="9">
        <v>6</v>
      </c>
      <c r="M7" s="9">
        <v>5</v>
      </c>
      <c r="N7" s="9">
        <v>3</v>
      </c>
      <c r="O7" s="9">
        <v>2</v>
      </c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0.95</v>
      </c>
      <c r="I8" s="20">
        <f>IF(ISOVERMAX(L8:U8)=1,"INVALID MARK",IF(ISOVERMAX(L8:U8)=2,"INVALID ENTRY",IF(COUNT(L8:U8)&lt;COUNT(L$6:U$6),"MISSING MARK",(H8-J8)*K$6)))</f>
        <v>19</v>
      </c>
      <c r="J8" s="28">
        <v>0</v>
      </c>
      <c r="K8" s="24">
        <f t="shared" si="2"/>
        <v>19</v>
      </c>
      <c r="L8" s="9">
        <v>10</v>
      </c>
      <c r="M8" s="9">
        <v>5</v>
      </c>
      <c r="N8" s="9">
        <v>3</v>
      </c>
      <c r="O8" s="9">
        <v>1</v>
      </c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9</v>
      </c>
      <c r="J9" s="28">
        <v>0</v>
      </c>
      <c r="K9" s="24">
        <f t="shared" si="2"/>
        <v>9</v>
      </c>
      <c r="L9" s="9">
        <v>8</v>
      </c>
      <c r="M9" s="9">
        <v>0</v>
      </c>
      <c r="N9" s="9">
        <v>0</v>
      </c>
      <c r="O9" s="9">
        <v>1</v>
      </c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0.55000000000000004</v>
      </c>
      <c r="I10" s="20">
        <f>IF(ISOVERMAX(L10:U10)=1,"INVALID MARK",IF(ISOVERMAX(L10:U10)=2,"INVALID ENTRY",IF(COUNT(L10:U10)&lt;COUNT(L$6:U$6),"MISSING MARK",(H10-J10)*K$6)))</f>
        <v>11</v>
      </c>
      <c r="J10" s="28">
        <v>0</v>
      </c>
      <c r="K10" s="24">
        <f t="shared" si="2"/>
        <v>11</v>
      </c>
      <c r="L10" s="9">
        <v>6</v>
      </c>
      <c r="M10" s="9">
        <v>3</v>
      </c>
      <c r="N10" s="9">
        <v>1</v>
      </c>
      <c r="O10" s="9">
        <v>1</v>
      </c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0.95</v>
      </c>
      <c r="I11" s="20">
        <f>IF(ISOVERMAX(L11:U11)=1,"INVALID MARK",IF(ISOVERMAX(L11:U11)=2,"INVALID ENTRY",IF(COUNT(L11:U11)&lt;COUNT(L$6:U$6),"MISSING MARK",(H11-J11)*K$6)))</f>
        <v>19</v>
      </c>
      <c r="J11" s="28">
        <v>0</v>
      </c>
      <c r="K11" s="24">
        <f t="shared" ref="K11:K15" si="6">SUM(L11:U11)</f>
        <v>19</v>
      </c>
      <c r="L11" s="9">
        <v>10</v>
      </c>
      <c r="M11" s="9">
        <v>5</v>
      </c>
      <c r="N11" s="9">
        <v>2</v>
      </c>
      <c r="O11" s="9">
        <v>2</v>
      </c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0.55000000000000004</v>
      </c>
      <c r="I12" s="20">
        <f>IF(ISOVERMAX(L12:U12)=1,"INVALID MARK",IF(ISOVERMAX(L12:U12)=2,"INVALID ENTRY",IF(COUNT(L12:U12)&lt;COUNT(L$6:U$6),"MISSING MARK",(H12-J12)*K$6)))</f>
        <v>11</v>
      </c>
      <c r="J12" s="28">
        <v>0</v>
      </c>
      <c r="K12" s="24">
        <f t="shared" si="6"/>
        <v>11</v>
      </c>
      <c r="L12" s="9">
        <v>5</v>
      </c>
      <c r="M12" s="9">
        <v>2</v>
      </c>
      <c r="N12" s="9">
        <v>2</v>
      </c>
      <c r="O12" s="9">
        <v>2</v>
      </c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0.6</v>
      </c>
      <c r="I13" s="20">
        <f>IF(ISOVERMAX(L13:U13)=1,"INVALID MARK",IF(ISOVERMAX(L13:U13)=2,"INVALID ENTRY",IF(COUNT(L13:U13)&lt;COUNT(L$6:U$6),"MISSING MARK",(H13-J13)*K$6)))</f>
        <v>12</v>
      </c>
      <c r="J13" s="28">
        <v>0</v>
      </c>
      <c r="K13" s="24">
        <f t="shared" si="6"/>
        <v>12</v>
      </c>
      <c r="L13" s="9">
        <v>6</v>
      </c>
      <c r="M13" s="9">
        <v>3</v>
      </c>
      <c r="N13" s="9">
        <v>2</v>
      </c>
      <c r="O13" s="9">
        <v>1</v>
      </c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0.65</v>
      </c>
      <c r="I14" s="20">
        <f>IF(ISOVERMAX(L14:U14)=1,"INVALID MARK",IF(ISOVERMAX(L14:U14)=2,"INVALID ENTRY",IF(COUNT(L14:U14)&lt;COUNT(L$6:U$6),"MISSING MARK",(H14-J14)*K$6)))</f>
        <v>13</v>
      </c>
      <c r="J14" s="28">
        <v>0</v>
      </c>
      <c r="K14" s="24">
        <f t="shared" si="6"/>
        <v>13</v>
      </c>
      <c r="L14" s="9">
        <v>3</v>
      </c>
      <c r="M14" s="9">
        <v>5</v>
      </c>
      <c r="N14" s="9">
        <v>3</v>
      </c>
      <c r="O14" s="9">
        <v>2</v>
      </c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0.65</v>
      </c>
      <c r="I15" s="20" t="str">
        <f>IF(ISOVERMAX(L15:U15)=1,"INVALID MARK",IF(ISOVERMAX(L15:U15)=2,"INVALID ENTRY",IF(COUNT(L15:U15)&lt;COUNT(L$6:U$6),"MISSING MARK",(H15-J15)*K$6)))</f>
        <v>MISSING MARK</v>
      </c>
      <c r="J15" s="28">
        <v>0</v>
      </c>
      <c r="K15" s="24">
        <f t="shared" si="6"/>
        <v>13</v>
      </c>
      <c r="L15" s="9">
        <v>7</v>
      </c>
      <c r="M15" s="9">
        <v>5</v>
      </c>
      <c r="N15" s="9"/>
      <c r="O15" s="9">
        <v>1</v>
      </c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0.625</v>
      </c>
      <c r="I16" s="20">
        <f>IF(ISOVERMAX(L16:U16)=1,"INVALID MARK",IF(ISOVERMAX(L16:U16)=2,"INVALID ENTRY",IF(COUNT(L16:U16)&lt;COUNT(L$6:U$6),"MISSING MARK",(H16-J16)*K$6)))</f>
        <v>12.5</v>
      </c>
      <c r="J16" s="28">
        <v>0</v>
      </c>
      <c r="K16" s="24">
        <f t="shared" ref="K16" si="9">SUM(L16:U16)</f>
        <v>12.5</v>
      </c>
      <c r="L16" s="9">
        <v>6.5</v>
      </c>
      <c r="M16" s="9">
        <v>3</v>
      </c>
      <c r="N16" s="9">
        <v>1</v>
      </c>
      <c r="O16" s="9">
        <v>2</v>
      </c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1.05</v>
      </c>
      <c r="I17" s="20">
        <f>IF(ISOVERMAX(L17:U17)=1,"INVALID MARK",IF(ISOVERMAX(L17:U17)=2,"INVALID ENTRY",IF(COUNT(L17:U17)&lt;COUNT(L$6:U$6),"MISSING MARK",(H17-J17)*K$6)))</f>
        <v>21</v>
      </c>
      <c r="J17" s="28">
        <v>0</v>
      </c>
      <c r="K17" s="24">
        <f t="shared" ref="K17" si="12">SUM(L17:U17)</f>
        <v>21</v>
      </c>
      <c r="L17" s="9">
        <v>11</v>
      </c>
      <c r="M17" s="9"/>
      <c r="N17" s="9">
        <v>3</v>
      </c>
      <c r="O17" s="9">
        <v>1</v>
      </c>
      <c r="P17" s="9"/>
      <c r="Q17" s="9">
        <v>6</v>
      </c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</sheetData>
  <mergeCells count="1">
    <mergeCell ref="F4:G4"/>
  </mergeCells>
  <conditionalFormatting sqref="I7:I17">
    <cfRule type="containsText" dxfId="40" priority="238" operator="containsText" text="INVALID MARK">
      <formula>NOT(ISERROR(SEARCH("INVALID MARK",I7)))</formula>
    </cfRule>
    <cfRule type="containsText" dxfId="39" priority="239" operator="containsText" text="INVALID ENTRY">
      <formula>NOT(ISERROR(SEARCH("INVALID ENTRY",I7)))</formula>
    </cfRule>
    <cfRule type="containsText" dxfId="38" priority="240" operator="containsText" text="MISSING MARK">
      <formula>NOT(ISERROR(SEARCH("MISSING MARK",I7)))</formula>
    </cfRule>
  </conditionalFormatting>
  <conditionalFormatting sqref="D7">
    <cfRule type="containsText" dxfId="37" priority="236" operator="containsText" text="FAIL">
      <formula>NOT(ISERROR(SEARCH("FAIL",D7)))</formula>
    </cfRule>
    <cfRule type="containsText" dxfId="36" priority="237" operator="containsText" text="PASS">
      <formula>NOT(ISERROR(SEARCH("PASS",D7)))</formula>
    </cfRule>
  </conditionalFormatting>
  <conditionalFormatting sqref="D8:D10">
    <cfRule type="containsText" dxfId="35" priority="231" operator="containsText" text="FAIL">
      <formula>NOT(ISERROR(SEARCH("FAIL",D8)))</formula>
    </cfRule>
    <cfRule type="containsText" dxfId="34" priority="232" operator="containsText" text="PASS">
      <formula>NOT(ISERROR(SEARCH("PASS",D8)))</formula>
    </cfRule>
  </conditionalFormatting>
  <conditionalFormatting sqref="D11:D15">
    <cfRule type="containsText" dxfId="33" priority="226" operator="containsText" text="FAIL">
      <formula>NOT(ISERROR(SEARCH("FAIL",D11)))</formula>
    </cfRule>
    <cfRule type="containsText" dxfId="32" priority="227" operator="containsText" text="PASS">
      <formula>NOT(ISERROR(SEARCH("PASS",D11)))</formula>
    </cfRule>
  </conditionalFormatting>
  <conditionalFormatting sqref="D16">
    <cfRule type="containsText" dxfId="31" priority="221" operator="containsText" text="FAIL">
      <formula>NOT(ISERROR(SEARCH("FAIL",D16)))</formula>
    </cfRule>
    <cfRule type="containsText" dxfId="30" priority="222" operator="containsText" text="PASS">
      <formula>NOT(ISERROR(SEARCH("PASS",D16)))</formula>
    </cfRule>
  </conditionalFormatting>
  <conditionalFormatting sqref="D17">
    <cfRule type="containsText" dxfId="29" priority="201" operator="containsText" text="FAIL">
      <formula>NOT(ISERROR(SEARCH("FAIL",D17)))</formula>
    </cfRule>
    <cfRule type="containsText" dxfId="28" priority="20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A91"/>
  <sheetViews>
    <sheetView workbookViewId="0">
      <selection activeCell="I7" sqref="I7:I17"/>
    </sheetView>
  </sheetViews>
  <sheetFormatPr defaultRowHeight="15" x14ac:dyDescent="0.25"/>
  <cols>
    <col min="3" max="3" width="11" bestFit="1" customWidth="1"/>
    <col min="4" max="4" width="6.85546875" bestFit="1" customWidth="1"/>
    <col min="5" max="5" width="16.42578125" bestFit="1" customWidth="1"/>
    <col min="6" max="6" width="17.85546875" bestFit="1" customWidth="1"/>
    <col min="7" max="8" width="15.85546875" bestFit="1" customWidth="1"/>
    <col min="9" max="9" width="14.42578125" bestFit="1" customWidth="1"/>
    <col min="10" max="10" width="11" bestFit="1" customWidth="1"/>
    <col min="11" max="11" width="29.140625" bestFit="1" customWidth="1"/>
    <col min="12" max="13" width="9.42578125" bestFit="1" customWidth="1"/>
    <col min="14" max="20" width="9" bestFit="1" customWidth="1"/>
    <col min="21" max="21" width="10" bestFit="1" customWidth="1"/>
  </cols>
  <sheetData>
    <row r="1" spans="1:53" x14ac:dyDescent="0.25">
      <c r="A1" s="5"/>
      <c r="B1" s="5"/>
      <c r="C1" s="5"/>
      <c r="D1" s="5"/>
      <c r="E1" s="5"/>
      <c r="F1" s="5"/>
      <c r="G1" s="5"/>
      <c r="H1" s="4"/>
      <c r="I1" s="19"/>
      <c r="J1" s="8"/>
      <c r="K1" s="17"/>
      <c r="L1" s="9"/>
      <c r="M1" s="9"/>
      <c r="N1" s="9"/>
      <c r="O1" s="9"/>
      <c r="P1" s="9"/>
      <c r="Q1" s="9"/>
      <c r="R1" s="9"/>
      <c r="S1" s="9"/>
      <c r="T1" s="9"/>
      <c r="U1" s="9"/>
      <c r="V1" s="5"/>
      <c r="W1" s="5"/>
      <c r="X1" s="5"/>
      <c r="Y1" s="5"/>
      <c r="Z1" s="5"/>
      <c r="AA1" s="5"/>
      <c r="AB1" s="5"/>
      <c r="AC1" s="5"/>
      <c r="AD1" s="5"/>
      <c r="AE1" s="5"/>
      <c r="AF1" s="5"/>
      <c r="AG1" s="5"/>
      <c r="AH1" s="5"/>
      <c r="AI1" s="5"/>
      <c r="AJ1" s="5"/>
      <c r="AK1" s="5"/>
      <c r="AL1" s="5"/>
      <c r="AM1" s="5"/>
      <c r="AN1" s="5"/>
      <c r="AO1" s="5"/>
      <c r="AP1" s="5"/>
      <c r="AQ1" s="5"/>
      <c r="AR1" s="5"/>
      <c r="AS1" s="5"/>
      <c r="AT1" s="5"/>
      <c r="AU1" s="5"/>
      <c r="AV1" s="5"/>
      <c r="AW1" s="5"/>
      <c r="AX1" s="5"/>
      <c r="AY1" s="5"/>
      <c r="AZ1" s="5"/>
      <c r="BA1" s="5"/>
    </row>
    <row r="2" spans="1:53" x14ac:dyDescent="0.25">
      <c r="A2" s="5"/>
      <c r="B2" s="5"/>
      <c r="C2" s="5"/>
      <c r="D2" s="5"/>
      <c r="E2" s="5"/>
      <c r="F2" s="5"/>
      <c r="G2" s="5"/>
      <c r="H2" s="4"/>
      <c r="I2" s="19"/>
      <c r="J2" s="8"/>
      <c r="K2" s="17"/>
      <c r="L2" s="9"/>
      <c r="M2" s="9"/>
      <c r="N2" s="9"/>
      <c r="O2" s="9"/>
      <c r="P2" s="9"/>
      <c r="Q2" s="9"/>
      <c r="R2" s="9"/>
      <c r="S2" s="9"/>
      <c r="T2" s="9"/>
      <c r="U2" s="9"/>
      <c r="V2" s="5"/>
      <c r="W2" s="5"/>
      <c r="X2" s="5"/>
      <c r="Y2" s="5"/>
      <c r="Z2" s="5"/>
      <c r="AA2" s="5"/>
      <c r="AB2" s="5"/>
      <c r="AC2" s="5"/>
      <c r="AD2" s="5"/>
      <c r="AE2" s="5"/>
      <c r="AF2" s="5"/>
      <c r="AG2" s="5"/>
      <c r="AH2" s="5"/>
      <c r="AI2" s="5"/>
      <c r="AJ2" s="5"/>
      <c r="AK2" s="5"/>
      <c r="AL2" s="5"/>
      <c r="AM2" s="5"/>
      <c r="AN2" s="5"/>
      <c r="AO2" s="5"/>
      <c r="AP2" s="5"/>
      <c r="AQ2" s="5"/>
      <c r="AR2" s="5"/>
      <c r="AS2" s="5"/>
      <c r="AT2" s="5"/>
      <c r="AU2" s="5"/>
      <c r="AV2" s="5"/>
      <c r="AW2" s="5"/>
      <c r="AX2" s="5"/>
      <c r="AY2" s="5"/>
      <c r="AZ2" s="5"/>
      <c r="BA2" s="5"/>
    </row>
    <row r="3" spans="1:53" ht="15.75" thickBot="1" x14ac:dyDescent="0.3">
      <c r="A3" s="5"/>
      <c r="B3" s="5"/>
      <c r="C3" s="7" t="s">
        <v>6</v>
      </c>
      <c r="D3" s="3" t="str">
        <f ca="1">MID(CELL("filename",A1),FIND("]",CELL("filename",A1))+1,255)</f>
        <v>Test 4</v>
      </c>
      <c r="E3" s="5"/>
      <c r="F3" s="7" t="s">
        <v>74</v>
      </c>
      <c r="G3" s="4">
        <v>0</v>
      </c>
      <c r="H3" s="4"/>
      <c r="I3" s="19"/>
      <c r="J3" s="8"/>
      <c r="K3" s="17"/>
      <c r="L3" s="9"/>
      <c r="M3" s="9"/>
      <c r="N3" s="9"/>
      <c r="O3" s="9"/>
      <c r="P3" s="9"/>
      <c r="Q3" s="9"/>
      <c r="R3" s="9"/>
      <c r="S3" s="9"/>
      <c r="T3" s="9"/>
      <c r="U3" s="9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</row>
    <row r="4" spans="1:53" ht="45.75" thickBot="1" x14ac:dyDescent="0.3">
      <c r="A4" s="5"/>
      <c r="B4" s="5"/>
      <c r="C4" s="21"/>
      <c r="D4" s="5"/>
      <c r="E4" s="5"/>
      <c r="F4" s="125" t="s">
        <v>75</v>
      </c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V4" s="5"/>
      <c r="W4" s="5"/>
      <c r="X4" s="5"/>
      <c r="Y4" s="7"/>
      <c r="Z4" s="3"/>
      <c r="AA4" s="5"/>
      <c r="AB4" s="5"/>
      <c r="AC4" s="5"/>
      <c r="AD4" s="4"/>
      <c r="AE4" s="17"/>
      <c r="AF4" s="9"/>
      <c r="AG4" s="9"/>
      <c r="AH4" s="9"/>
      <c r="AI4" s="9"/>
      <c r="AJ4" s="9"/>
      <c r="AK4" s="9"/>
      <c r="AL4" s="9"/>
      <c r="AM4" s="9"/>
      <c r="AN4" s="9"/>
      <c r="AO4" s="9"/>
      <c r="AP4" s="8"/>
      <c r="AQ4" s="5"/>
      <c r="AR4" s="5"/>
      <c r="AS4" s="5"/>
      <c r="AT4" s="7"/>
      <c r="AU4" s="3"/>
      <c r="AV4" s="5"/>
      <c r="AW4" s="5"/>
      <c r="AX4" s="5"/>
      <c r="AY4" s="4"/>
      <c r="AZ4" s="17"/>
      <c r="BA4" s="9"/>
    </row>
    <row r="5" spans="1:53" ht="15.75" thickBot="1" x14ac:dyDescent="0.3">
      <c r="A5" s="7"/>
      <c r="B5" s="7"/>
      <c r="C5" s="7"/>
      <c r="D5" s="1"/>
      <c r="E5" s="63" t="s">
        <v>3</v>
      </c>
      <c r="F5" s="64" t="s">
        <v>1</v>
      </c>
      <c r="G5" s="64" t="s">
        <v>2</v>
      </c>
      <c r="H5" s="82" t="s">
        <v>8</v>
      </c>
      <c r="I5" s="83" t="s">
        <v>0</v>
      </c>
      <c r="J5" s="84" t="s">
        <v>7</v>
      </c>
      <c r="K5" s="85" t="s">
        <v>10</v>
      </c>
      <c r="L5" s="86" t="s">
        <v>55</v>
      </c>
      <c r="M5" s="86" t="s">
        <v>56</v>
      </c>
      <c r="N5" s="86" t="s">
        <v>57</v>
      </c>
      <c r="O5" s="86" t="s">
        <v>58</v>
      </c>
      <c r="P5" s="86" t="s">
        <v>59</v>
      </c>
      <c r="Q5" s="86" t="s">
        <v>60</v>
      </c>
      <c r="R5" s="86" t="s">
        <v>61</v>
      </c>
      <c r="S5" s="86" t="s">
        <v>62</v>
      </c>
      <c r="T5" s="86" t="s">
        <v>63</v>
      </c>
      <c r="U5" s="86" t="s">
        <v>64</v>
      </c>
      <c r="V5" s="7"/>
      <c r="W5" s="7"/>
      <c r="X5" s="7"/>
      <c r="Y5" s="7"/>
      <c r="Z5" s="7"/>
      <c r="AA5" s="7"/>
      <c r="AB5" s="7"/>
      <c r="AC5" s="7"/>
      <c r="AD5" s="6"/>
      <c r="AE5" s="12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0"/>
      <c r="AQ5" s="7"/>
      <c r="AR5" s="7"/>
      <c r="AS5" s="7"/>
      <c r="AT5" s="7"/>
      <c r="AU5" s="7"/>
      <c r="AV5" s="7"/>
      <c r="AW5" s="7"/>
      <c r="AX5" s="7"/>
      <c r="AY5" s="6"/>
      <c r="AZ5" s="12"/>
      <c r="BA5" s="11"/>
    </row>
    <row r="6" spans="1:53" ht="15.75" thickBot="1" x14ac:dyDescent="0.3">
      <c r="A6" s="14"/>
      <c r="B6" s="14"/>
      <c r="C6" s="14"/>
      <c r="D6" s="76" t="s">
        <v>5</v>
      </c>
      <c r="E6" s="77"/>
      <c r="F6" s="77"/>
      <c r="G6" s="77"/>
      <c r="H6" s="78">
        <v>1</v>
      </c>
      <c r="I6" s="77">
        <f>K6</f>
        <v>50</v>
      </c>
      <c r="J6" s="79"/>
      <c r="K6" s="80">
        <f t="shared" ref="K6" si="0">SUM(L6:U6)</f>
        <v>50</v>
      </c>
      <c r="L6" s="81">
        <v>50</v>
      </c>
      <c r="M6" s="81"/>
      <c r="N6" s="81"/>
      <c r="O6" s="81"/>
      <c r="P6" s="81"/>
      <c r="Q6" s="81"/>
      <c r="R6" s="81"/>
      <c r="S6" s="81"/>
      <c r="T6" s="81"/>
      <c r="U6" s="81"/>
      <c r="V6" s="34"/>
      <c r="W6" s="14"/>
      <c r="X6" s="14"/>
      <c r="Y6" s="14"/>
      <c r="Z6" s="13"/>
      <c r="AA6" s="14"/>
      <c r="AB6" s="14"/>
      <c r="AC6" s="14"/>
      <c r="AD6" s="16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4"/>
      <c r="AR6" s="14"/>
      <c r="AS6" s="14"/>
      <c r="AT6" s="14"/>
      <c r="AU6" s="13"/>
      <c r="AV6" s="14"/>
      <c r="AW6" s="14"/>
      <c r="AX6" s="14"/>
      <c r="AY6" s="16"/>
      <c r="AZ6" s="15"/>
      <c r="BA6" s="15"/>
    </row>
    <row r="7" spans="1:53" x14ac:dyDescent="0.25">
      <c r="A7" s="5"/>
      <c r="B7" s="5"/>
      <c r="C7" s="5"/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0" si="1">IF(K7/K$6-J7&gt;=0, K7/K$6-J7, 0)</f>
        <v>0.66</v>
      </c>
      <c r="I7" s="20">
        <f>IF(ISOVERMAX(L7:U7)=1,"INVALID MARK",IF(ISOVERMAX(L7:U7)=2,"INVALID ENTRY",IF(COUNT(L7:U7)&lt;COUNT(L$6:U$6),"MISSING MARK",(H7-J7)*K$6)))</f>
        <v>33</v>
      </c>
      <c r="J7" s="28">
        <v>0</v>
      </c>
      <c r="K7" s="24">
        <f t="shared" ref="K7:K10" si="2">SUM(L7:U7)</f>
        <v>33</v>
      </c>
      <c r="L7" s="9">
        <v>33</v>
      </c>
      <c r="M7" s="9"/>
      <c r="N7" s="9"/>
      <c r="O7" s="9"/>
      <c r="P7" s="9"/>
      <c r="Q7" s="9"/>
      <c r="R7" s="9"/>
      <c r="S7" s="9"/>
      <c r="T7" s="9"/>
      <c r="U7" s="9"/>
      <c r="V7" s="5"/>
      <c r="W7" s="5"/>
      <c r="X7" s="5"/>
      <c r="Y7" s="5"/>
      <c r="Z7" s="5"/>
      <c r="AA7" s="5"/>
      <c r="AB7" s="5"/>
      <c r="AC7" s="5"/>
      <c r="AD7" s="18"/>
      <c r="AE7" s="17"/>
      <c r="AF7" s="9"/>
      <c r="AG7" s="9"/>
      <c r="AH7" s="9"/>
      <c r="AI7" s="9"/>
      <c r="AJ7" s="9"/>
      <c r="AK7" s="9"/>
      <c r="AL7" s="9"/>
      <c r="AM7" s="9"/>
      <c r="AN7" s="9"/>
      <c r="AO7" s="9"/>
      <c r="AP7" s="8"/>
      <c r="AQ7" s="5"/>
      <c r="AR7" s="5"/>
      <c r="AS7" s="5"/>
      <c r="AT7" s="5"/>
      <c r="AU7" s="5"/>
      <c r="AV7" s="5"/>
      <c r="AW7" s="5"/>
      <c r="AX7" s="5"/>
      <c r="AY7" s="18"/>
      <c r="AZ7" s="17"/>
      <c r="BA7" s="9"/>
    </row>
    <row r="8" spans="1:53" x14ac:dyDescent="0.25">
      <c r="A8" s="5"/>
      <c r="B8" s="5"/>
      <c r="C8" s="5"/>
      <c r="D8" s="2" t="str">
        <f t="shared" ref="D8:D10" si="3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0.92</v>
      </c>
      <c r="I8" s="20">
        <f>IF(ISOVERMAX(L8:U8)=1,"INVALID MARK",IF(ISOVERMAX(L8:U8)=2,"INVALID ENTRY",IF(COUNT(L8:U8)&lt;COUNT(L$6:U$6),"MISSING MARK",(H8-J8)*K$6)))</f>
        <v>46</v>
      </c>
      <c r="J8" s="28">
        <v>0</v>
      </c>
      <c r="K8" s="24">
        <f t="shared" si="2"/>
        <v>46</v>
      </c>
      <c r="L8" s="9">
        <v>46</v>
      </c>
      <c r="M8" s="9"/>
      <c r="N8" s="9"/>
      <c r="O8" s="9"/>
      <c r="P8" s="9"/>
      <c r="Q8" s="9"/>
      <c r="R8" s="9"/>
      <c r="S8" s="9"/>
      <c r="T8" s="9"/>
      <c r="U8" s="9"/>
      <c r="V8" s="5"/>
      <c r="W8" s="5"/>
      <c r="X8" s="5"/>
      <c r="Y8" s="5"/>
      <c r="Z8" s="5"/>
      <c r="AA8" s="5"/>
      <c r="AB8" s="5"/>
      <c r="AC8" s="5"/>
      <c r="AD8" s="18"/>
      <c r="AE8" s="17"/>
      <c r="AF8" s="9"/>
      <c r="AG8" s="9"/>
      <c r="AH8" s="9"/>
      <c r="AI8" s="9"/>
      <c r="AJ8" s="9"/>
      <c r="AK8" s="9"/>
      <c r="AL8" s="9"/>
      <c r="AM8" s="9"/>
      <c r="AN8" s="9"/>
      <c r="AO8" s="9"/>
      <c r="AP8" s="8"/>
      <c r="AQ8" s="5"/>
      <c r="AR8" s="5"/>
      <c r="AS8" s="5"/>
      <c r="AT8" s="5"/>
      <c r="AU8" s="5"/>
      <c r="AV8" s="5"/>
      <c r="AW8" s="5"/>
      <c r="AX8" s="5"/>
      <c r="AY8" s="18"/>
      <c r="AZ8" s="17"/>
      <c r="BA8" s="9"/>
    </row>
    <row r="9" spans="1:53" x14ac:dyDescent="0.25">
      <c r="A9" s="5"/>
      <c r="B9" s="5"/>
      <c r="C9" s="5"/>
      <c r="D9" s="2" t="str">
        <f t="shared" si="3"/>
        <v>PASS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0.32</v>
      </c>
      <c r="I9" s="20">
        <f>IF(ISOVERMAX(L9:U9)=1,"INVALID MARK",IF(ISOVERMAX(L9:U9)=2,"INVALID ENTRY",IF(COUNT(L9:U9)&lt;COUNT(L$6:U$6),"MISSING MARK",(H9-J9)*K$6)))</f>
        <v>16</v>
      </c>
      <c r="J9" s="28">
        <v>0</v>
      </c>
      <c r="K9" s="24">
        <f t="shared" si="2"/>
        <v>16</v>
      </c>
      <c r="L9" s="9">
        <v>16</v>
      </c>
      <c r="M9" s="9"/>
      <c r="N9" s="9"/>
      <c r="O9" s="9"/>
      <c r="P9" s="9"/>
      <c r="Q9" s="9"/>
      <c r="R9" s="9"/>
      <c r="S9" s="9"/>
      <c r="T9" s="9"/>
      <c r="U9" s="9"/>
      <c r="V9" s="5"/>
      <c r="W9" s="5"/>
      <c r="X9" s="5"/>
      <c r="Y9" s="5"/>
      <c r="Z9" s="5"/>
      <c r="AA9" s="5"/>
      <c r="AB9" s="5"/>
      <c r="AC9" s="5"/>
      <c r="AD9" s="18"/>
      <c r="AE9" s="17"/>
      <c r="AF9" s="9"/>
      <c r="AG9" s="9"/>
      <c r="AH9" s="9"/>
      <c r="AI9" s="9"/>
      <c r="AJ9" s="9"/>
      <c r="AK9" s="9"/>
      <c r="AL9" s="9"/>
      <c r="AM9" s="9"/>
      <c r="AN9" s="9"/>
      <c r="AO9" s="9"/>
      <c r="AP9" s="8"/>
      <c r="AQ9" s="5"/>
      <c r="AR9" s="5"/>
      <c r="AS9" s="5"/>
      <c r="AT9" s="5"/>
      <c r="AU9" s="5"/>
      <c r="AV9" s="5"/>
      <c r="AW9" s="5"/>
      <c r="AX9" s="5"/>
      <c r="AY9" s="18"/>
      <c r="AZ9" s="17"/>
      <c r="BA9" s="9"/>
    </row>
    <row r="10" spans="1:53" x14ac:dyDescent="0.25">
      <c r="A10" s="5"/>
      <c r="B10" s="5"/>
      <c r="C10" s="5"/>
      <c r="D10" s="2" t="str">
        <f t="shared" si="3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0.6</v>
      </c>
      <c r="I10" s="20">
        <f>IF(ISOVERMAX(L10:U10)=1,"INVALID MARK",IF(ISOVERMAX(L10:U10)=2,"INVALID ENTRY",IF(COUNT(L10:U10)&lt;COUNT(L$6:U$6),"MISSING MARK",(H10-J10)*K$6)))</f>
        <v>30</v>
      </c>
      <c r="J10" s="28">
        <v>0</v>
      </c>
      <c r="K10" s="24">
        <f t="shared" si="2"/>
        <v>30</v>
      </c>
      <c r="L10" s="9">
        <v>30</v>
      </c>
      <c r="M10" s="9"/>
      <c r="N10" s="9"/>
      <c r="O10" s="9"/>
      <c r="P10" s="9"/>
      <c r="Q10" s="9"/>
      <c r="R10" s="9"/>
      <c r="S10" s="9"/>
      <c r="T10" s="9"/>
      <c r="U10" s="9"/>
      <c r="V10" s="5"/>
      <c r="W10" s="5"/>
      <c r="X10" s="5"/>
      <c r="Y10" s="5"/>
      <c r="Z10" s="5"/>
      <c r="AA10" s="5"/>
      <c r="AB10" s="5"/>
      <c r="AC10" s="5"/>
      <c r="AD10" s="18"/>
      <c r="AE10" s="17"/>
      <c r="AF10" s="9"/>
      <c r="AG10" s="9"/>
      <c r="AH10" s="9"/>
      <c r="AI10" s="9"/>
      <c r="AJ10" s="9"/>
      <c r="AK10" s="9"/>
      <c r="AL10" s="9"/>
      <c r="AM10" s="9"/>
      <c r="AN10" s="9"/>
      <c r="AO10" s="9"/>
      <c r="AP10" s="8"/>
      <c r="AQ10" s="5"/>
      <c r="AR10" s="5"/>
      <c r="AS10" s="5"/>
      <c r="AT10" s="5"/>
      <c r="AU10" s="5"/>
      <c r="AV10" s="5"/>
      <c r="AW10" s="5"/>
      <c r="AX10" s="5"/>
      <c r="AY10" s="18"/>
      <c r="AZ10" s="17"/>
      <c r="BA10" s="9"/>
    </row>
    <row r="11" spans="1:53" x14ac:dyDescent="0.25">
      <c r="A11" s="5"/>
      <c r="B11" s="5"/>
      <c r="C11" s="5"/>
      <c r="D11" s="2" t="str">
        <f t="shared" ref="D11:D15" si="4">IF(H11&gt;G$3, "PASS", "FAIL")</f>
        <v>PASS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ref="H11:H15" si="5">IF(K11/K$6-J11&gt;=0, K11/K$6-J11, 0)</f>
        <v>0.7</v>
      </c>
      <c r="I11" s="20">
        <f>IF(ISOVERMAX(L11:U11)=1,"INVALID MARK",IF(ISOVERMAX(L11:U11)=2,"INVALID ENTRY",IF(COUNT(L11:U11)&lt;COUNT(L$6:U$6),"MISSING MARK",(H11-J11)*K$6)))</f>
        <v>35</v>
      </c>
      <c r="J11" s="28">
        <v>0</v>
      </c>
      <c r="K11" s="24">
        <f t="shared" ref="K11:K15" si="6">SUM(L11:U11)</f>
        <v>35</v>
      </c>
      <c r="L11" s="9">
        <v>35</v>
      </c>
      <c r="M11" s="9"/>
      <c r="N11" s="9"/>
      <c r="O11" s="9"/>
      <c r="P11" s="9"/>
      <c r="Q11" s="9"/>
      <c r="R11" s="9"/>
      <c r="S11" s="9"/>
      <c r="T11" s="9"/>
      <c r="U11" s="9"/>
      <c r="V11" s="5"/>
      <c r="W11" s="5"/>
      <c r="X11" s="5"/>
      <c r="Y11" s="5"/>
      <c r="Z11" s="5"/>
      <c r="AA11" s="5"/>
      <c r="AB11" s="5"/>
      <c r="AC11" s="5"/>
      <c r="AD11" s="18"/>
      <c r="AE11" s="17"/>
      <c r="AF11" s="9"/>
      <c r="AG11" s="9"/>
      <c r="AH11" s="9"/>
      <c r="AI11" s="9"/>
      <c r="AJ11" s="9"/>
      <c r="AK11" s="9"/>
      <c r="AL11" s="9"/>
      <c r="AM11" s="9"/>
      <c r="AN11" s="9"/>
      <c r="AO11" s="9"/>
      <c r="AP11" s="8"/>
      <c r="AQ11" s="5"/>
      <c r="AR11" s="5"/>
      <c r="AS11" s="5"/>
      <c r="AT11" s="5"/>
      <c r="AU11" s="5"/>
      <c r="AV11" s="5"/>
      <c r="AW11" s="5"/>
      <c r="AX11" s="5"/>
      <c r="AY11" s="18"/>
      <c r="AZ11" s="17"/>
      <c r="BA11" s="9"/>
    </row>
    <row r="12" spans="1:53" x14ac:dyDescent="0.25">
      <c r="A12" s="5"/>
      <c r="B12" s="5"/>
      <c r="C12" s="5"/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 t="shared" si="5"/>
        <v>0.34</v>
      </c>
      <c r="I12" s="20">
        <f>IF(ISOVERMAX(L12:U12)=1,"INVALID MARK",IF(ISOVERMAX(L12:U12)=2,"INVALID ENTRY",IF(COUNT(L12:U12)&lt;COUNT(L$6:U$6),"MISSING MARK",(H12-J12)*K$6)))</f>
        <v>17</v>
      </c>
      <c r="J12" s="28">
        <v>0</v>
      </c>
      <c r="K12" s="24">
        <f t="shared" si="6"/>
        <v>17</v>
      </c>
      <c r="L12" s="9">
        <v>17</v>
      </c>
      <c r="M12" s="9"/>
      <c r="N12" s="9"/>
      <c r="O12" s="9"/>
      <c r="P12" s="9"/>
      <c r="Q12" s="9"/>
      <c r="R12" s="9"/>
      <c r="S12" s="9"/>
      <c r="T12" s="9"/>
      <c r="U12" s="9"/>
      <c r="V12" s="5"/>
      <c r="W12" s="5"/>
      <c r="X12" s="5"/>
      <c r="Y12" s="5"/>
      <c r="Z12" s="5"/>
      <c r="AA12" s="5"/>
      <c r="AB12" s="5"/>
      <c r="AC12" s="5"/>
      <c r="AD12" s="18"/>
      <c r="AE12" s="17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8"/>
      <c r="AQ12" s="5"/>
      <c r="AR12" s="5"/>
      <c r="AS12" s="5"/>
      <c r="AT12" s="5"/>
      <c r="AU12" s="5"/>
      <c r="AV12" s="5"/>
      <c r="AW12" s="5"/>
      <c r="AX12" s="5"/>
      <c r="AY12" s="18"/>
      <c r="AZ12" s="17"/>
      <c r="BA12" s="9"/>
    </row>
    <row r="13" spans="1:53" x14ac:dyDescent="0.25">
      <c r="A13" s="5"/>
      <c r="B13" s="5"/>
      <c r="C13" s="5"/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si="5"/>
        <v>0.94</v>
      </c>
      <c r="I13" s="20">
        <f>IF(ISOVERMAX(L13:U13)=1,"INVALID MARK",IF(ISOVERMAX(L13:U13)=2,"INVALID ENTRY",IF(COUNT(L13:U13)&lt;COUNT(L$6:U$6),"MISSING MARK",(H13-J13)*K$6)))</f>
        <v>47</v>
      </c>
      <c r="J13" s="28">
        <v>0</v>
      </c>
      <c r="K13" s="24">
        <f t="shared" si="6"/>
        <v>47</v>
      </c>
      <c r="L13" s="9">
        <v>47</v>
      </c>
      <c r="M13" s="9"/>
      <c r="N13" s="9"/>
      <c r="O13" s="9"/>
      <c r="P13" s="9"/>
      <c r="Q13" s="9"/>
      <c r="R13" s="9"/>
      <c r="S13" s="9"/>
      <c r="T13" s="9"/>
      <c r="U13" s="9"/>
      <c r="V13" s="5"/>
      <c r="W13" s="5"/>
      <c r="X13" s="5"/>
      <c r="Y13" s="5"/>
      <c r="Z13" s="5"/>
      <c r="AA13" s="5"/>
      <c r="AB13" s="5"/>
      <c r="AC13" s="5"/>
      <c r="AD13" s="18"/>
      <c r="AE13" s="17"/>
      <c r="AF13" s="9"/>
      <c r="AG13" s="9"/>
      <c r="AH13" s="9"/>
      <c r="AI13" s="9"/>
      <c r="AJ13" s="9"/>
      <c r="AK13" s="9"/>
      <c r="AL13" s="9"/>
      <c r="AM13" s="9"/>
      <c r="AN13" s="9"/>
      <c r="AO13" s="9"/>
      <c r="AP13" s="8"/>
      <c r="AQ13" s="5"/>
      <c r="AR13" s="5"/>
      <c r="AS13" s="5"/>
      <c r="AT13" s="5"/>
      <c r="AU13" s="5"/>
      <c r="AV13" s="5"/>
      <c r="AW13" s="5"/>
      <c r="AX13" s="5"/>
      <c r="AY13" s="18"/>
      <c r="AZ13" s="17"/>
      <c r="BA13" s="9"/>
    </row>
    <row r="14" spans="1:53" x14ac:dyDescent="0.25">
      <c r="A14" s="5"/>
      <c r="B14" s="5"/>
      <c r="C14" s="5"/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0.62</v>
      </c>
      <c r="I14" s="20">
        <f>IF(ISOVERMAX(L14:U14)=1,"INVALID MARK",IF(ISOVERMAX(L14:U14)=2,"INVALID ENTRY",IF(COUNT(L14:U14)&lt;COUNT(L$6:U$6),"MISSING MARK",(H14-J14)*K$6)))</f>
        <v>26</v>
      </c>
      <c r="J14" s="28">
        <v>0.1</v>
      </c>
      <c r="K14" s="24">
        <f t="shared" si="6"/>
        <v>36</v>
      </c>
      <c r="L14" s="9">
        <v>36</v>
      </c>
      <c r="M14" s="9"/>
      <c r="N14" s="9"/>
      <c r="O14" s="9"/>
      <c r="P14" s="9"/>
      <c r="Q14" s="9"/>
      <c r="R14" s="9"/>
      <c r="S14" s="9"/>
      <c r="T14" s="9"/>
      <c r="U14" s="9"/>
      <c r="V14" s="5"/>
      <c r="W14" s="5"/>
      <c r="X14" s="5"/>
      <c r="Y14" s="5"/>
      <c r="Z14" s="5"/>
      <c r="AA14" s="5"/>
      <c r="AB14" s="5"/>
      <c r="AC14" s="5"/>
      <c r="AD14" s="18"/>
      <c r="AE14" s="17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8"/>
      <c r="AQ14" s="5"/>
      <c r="AR14" s="5"/>
      <c r="AS14" s="5"/>
      <c r="AT14" s="5"/>
      <c r="AU14" s="5"/>
      <c r="AV14" s="5"/>
      <c r="AW14" s="5"/>
      <c r="AX14" s="5"/>
      <c r="AY14" s="18"/>
      <c r="AZ14" s="17"/>
      <c r="BA14" s="9"/>
    </row>
    <row r="15" spans="1:53" x14ac:dyDescent="0.25">
      <c r="A15" s="5"/>
      <c r="B15" s="5"/>
      <c r="C15" s="5"/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0.9</v>
      </c>
      <c r="I15" s="20">
        <f>IF(ISOVERMAX(L15:U15)=1,"INVALID MARK",IF(ISOVERMAX(L15:U15)=2,"INVALID ENTRY",IF(COUNT(L15:U15)&lt;COUNT(L$6:U$6),"MISSING MARK",(H15-J15)*K$6)))</f>
        <v>45</v>
      </c>
      <c r="J15" s="28">
        <v>0</v>
      </c>
      <c r="K15" s="24">
        <f t="shared" si="6"/>
        <v>45</v>
      </c>
      <c r="L15" s="9">
        <v>45</v>
      </c>
      <c r="M15" s="9"/>
      <c r="N15" s="9"/>
      <c r="O15" s="9"/>
      <c r="P15" s="9"/>
      <c r="Q15" s="9"/>
      <c r="R15" s="9"/>
      <c r="S15" s="9"/>
      <c r="T15" s="9"/>
      <c r="U15" s="9"/>
      <c r="V15" s="5"/>
      <c r="W15" s="5"/>
      <c r="X15" s="5"/>
      <c r="Y15" s="5"/>
      <c r="Z15" s="5"/>
      <c r="AA15" s="5"/>
      <c r="AB15" s="5"/>
      <c r="AC15" s="5"/>
      <c r="AD15" s="18"/>
      <c r="AE15" s="17"/>
      <c r="AF15" s="9"/>
      <c r="AG15" s="9"/>
      <c r="AH15" s="9"/>
      <c r="AI15" s="9"/>
      <c r="AJ15" s="9"/>
      <c r="AK15" s="9"/>
      <c r="AL15" s="9"/>
      <c r="AM15" s="9"/>
      <c r="AN15" s="9"/>
      <c r="AO15" s="9"/>
      <c r="AP15" s="8"/>
      <c r="AQ15" s="5"/>
      <c r="AR15" s="5"/>
      <c r="AS15" s="5"/>
      <c r="AT15" s="5"/>
      <c r="AU15" s="5"/>
      <c r="AV15" s="5"/>
      <c r="AW15" s="5"/>
      <c r="AX15" s="5"/>
      <c r="AY15" s="18"/>
      <c r="AZ15" s="17"/>
      <c r="BA15" s="9"/>
    </row>
    <row r="16" spans="1:53" x14ac:dyDescent="0.25">
      <c r="A16" s="5"/>
      <c r="B16" s="5"/>
      <c r="C16" s="5"/>
      <c r="D16" s="2" t="str">
        <f t="shared" ref="D16" si="7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ref="H16" si="8">IF(K16/K$6-J16&gt;=0, K16/K$6-J16, 0)</f>
        <v>0.72</v>
      </c>
      <c r="I16" s="20">
        <f>IF(ISOVERMAX(L16:U16)=1,"INVALID MARK",IF(ISOVERMAX(L16:U16)=2,"INVALID ENTRY",IF(COUNT(L16:U16)&lt;COUNT(L$6:U$6),"MISSING MARK",(H16-J16)*K$6)))</f>
        <v>36</v>
      </c>
      <c r="J16" s="28">
        <v>0</v>
      </c>
      <c r="K16" s="24">
        <f t="shared" ref="K16" si="9">SUM(L16:U16)</f>
        <v>36</v>
      </c>
      <c r="L16" s="9">
        <v>36</v>
      </c>
      <c r="M16" s="9"/>
      <c r="N16" s="9"/>
      <c r="O16" s="9"/>
      <c r="P16" s="9"/>
      <c r="Q16" s="9"/>
      <c r="R16" s="9"/>
      <c r="S16" s="9"/>
      <c r="T16" s="9"/>
      <c r="U16" s="9"/>
      <c r="V16" s="5"/>
      <c r="W16" s="5"/>
      <c r="X16" s="5"/>
      <c r="Y16" s="5"/>
      <c r="Z16" s="5"/>
      <c r="AA16" s="5"/>
      <c r="AB16" s="5"/>
      <c r="AC16" s="5"/>
      <c r="AD16" s="18"/>
      <c r="AE16" s="17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8"/>
      <c r="AQ16" s="5"/>
      <c r="AR16" s="5"/>
      <c r="AS16" s="5"/>
      <c r="AT16" s="5"/>
      <c r="AU16" s="5"/>
      <c r="AV16" s="5"/>
      <c r="AW16" s="5"/>
      <c r="AX16" s="5"/>
      <c r="AY16" s="18"/>
      <c r="AZ16" s="17"/>
      <c r="BA16" s="9"/>
    </row>
    <row r="17" spans="1:53" x14ac:dyDescent="0.25">
      <c r="A17" s="5"/>
      <c r="B17" s="5"/>
      <c r="C17" s="5"/>
      <c r="D17" s="2" t="str">
        <f t="shared" ref="D17" si="10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11">IF(K17/K$6-J17&gt;=0, K17/K$6-J17, 0)</f>
        <v>0.78</v>
      </c>
      <c r="I17" s="20">
        <f>IF(ISOVERMAX(L17:U17)=1,"INVALID MARK",IF(ISOVERMAX(L17:U17)=2,"INVALID ENTRY",IF(COUNT(L17:U17)&lt;COUNT(L$6:U$6),"MISSING MARK",(H17-J17)*K$6)))</f>
        <v>39</v>
      </c>
      <c r="J17" s="28">
        <v>0</v>
      </c>
      <c r="K17" s="24">
        <f t="shared" ref="K17" si="12">SUM(L17:U17)</f>
        <v>39</v>
      </c>
      <c r="L17" s="9">
        <v>39</v>
      </c>
      <c r="M17" s="9"/>
      <c r="N17" s="9"/>
      <c r="O17" s="9"/>
      <c r="P17" s="9"/>
      <c r="Q17" s="9"/>
      <c r="R17" s="9"/>
      <c r="S17" s="9"/>
      <c r="T17" s="9"/>
      <c r="U17" s="9"/>
      <c r="V17" s="5"/>
      <c r="W17" s="5"/>
      <c r="X17" s="5"/>
      <c r="Y17" s="5"/>
      <c r="Z17" s="5"/>
      <c r="AA17" s="5"/>
      <c r="AB17" s="5"/>
      <c r="AC17" s="5"/>
      <c r="AD17" s="18"/>
      <c r="AE17" s="17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8"/>
      <c r="AQ17" s="5"/>
      <c r="AR17" s="5"/>
      <c r="AS17" s="5"/>
      <c r="AT17" s="5"/>
      <c r="AU17" s="5"/>
      <c r="AV17" s="5"/>
      <c r="AW17" s="5"/>
      <c r="AX17" s="5"/>
      <c r="AY17" s="18"/>
      <c r="AZ17" s="17"/>
      <c r="BA17" s="9"/>
    </row>
    <row r="18" spans="1:53" x14ac:dyDescent="0.25">
      <c r="A18" s="5"/>
      <c r="B18" s="5"/>
      <c r="C18" s="5"/>
      <c r="D18" s="5"/>
      <c r="E18" s="5"/>
      <c r="F18" s="5"/>
      <c r="G18" s="5"/>
      <c r="H18" s="4"/>
      <c r="I18" s="19"/>
      <c r="J18" s="8"/>
      <c r="K18" s="17"/>
      <c r="L18" s="9"/>
      <c r="M18" s="9"/>
      <c r="N18" s="9"/>
      <c r="O18" s="9"/>
      <c r="P18" s="9"/>
      <c r="Q18" s="9"/>
      <c r="R18" s="9"/>
      <c r="S18" s="9"/>
      <c r="T18" s="9"/>
      <c r="U18" s="9"/>
      <c r="V18" s="5"/>
      <c r="W18" s="5"/>
      <c r="X18" s="5"/>
      <c r="Y18" s="5"/>
      <c r="Z18" s="5"/>
      <c r="AA18" s="5"/>
      <c r="AB18" s="5"/>
      <c r="AC18" s="5"/>
      <c r="AD18" s="5"/>
      <c r="AE18" s="5"/>
      <c r="AF18" s="5"/>
      <c r="AG18" s="5"/>
      <c r="AH18" s="5"/>
      <c r="AI18" s="5"/>
      <c r="AJ18" s="5"/>
      <c r="AK18" s="5"/>
      <c r="AL18" s="5"/>
      <c r="AM18" s="5"/>
      <c r="AN18" s="5"/>
      <c r="AO18" s="5"/>
      <c r="AP18" s="5"/>
      <c r="AQ18" s="5"/>
      <c r="AR18" s="5"/>
      <c r="AS18" s="5"/>
      <c r="AT18" s="5"/>
      <c r="AU18" s="5"/>
      <c r="AV18" s="5"/>
      <c r="AW18" s="5"/>
      <c r="AX18" s="5"/>
      <c r="AY18" s="5"/>
      <c r="AZ18" s="5"/>
      <c r="BA18" s="5"/>
    </row>
    <row r="19" spans="1:53" x14ac:dyDescent="0.25">
      <c r="A19" s="5"/>
      <c r="B19" s="5"/>
      <c r="C19" s="5"/>
      <c r="D19" s="5"/>
      <c r="E19" s="5"/>
      <c r="F19" s="5"/>
      <c r="G19" s="5"/>
      <c r="H19" s="4"/>
      <c r="I19" s="19"/>
      <c r="J19" s="8"/>
      <c r="K19" s="17"/>
      <c r="L19" s="9"/>
      <c r="M19" s="9"/>
      <c r="N19" s="9"/>
      <c r="O19" s="9"/>
      <c r="P19" s="9"/>
      <c r="Q19" s="9"/>
      <c r="R19" s="9"/>
      <c r="S19" s="9"/>
      <c r="T19" s="9"/>
      <c r="U19" s="9"/>
      <c r="V19" s="5"/>
      <c r="W19" s="5"/>
      <c r="X19" s="5"/>
      <c r="Y19" s="5"/>
      <c r="Z19" s="5"/>
      <c r="AA19" s="5"/>
      <c r="AB19" s="5"/>
      <c r="AC19" s="5"/>
      <c r="AD19" s="5"/>
      <c r="AE19" s="5"/>
      <c r="AF19" s="5"/>
      <c r="AG19" s="5"/>
      <c r="AH19" s="5"/>
      <c r="AI19" s="5"/>
      <c r="AJ19" s="5"/>
      <c r="AK19" s="5"/>
      <c r="AL19" s="5"/>
      <c r="AM19" s="5"/>
      <c r="AN19" s="5"/>
      <c r="AO19" s="5"/>
      <c r="AP19" s="5"/>
      <c r="AQ19" s="5"/>
      <c r="AR19" s="5"/>
      <c r="AS19" s="5"/>
      <c r="AT19" s="5"/>
      <c r="AU19" s="5"/>
      <c r="AV19" s="5"/>
      <c r="AW19" s="5"/>
      <c r="AX19" s="5"/>
      <c r="AY19" s="5"/>
      <c r="AZ19" s="5"/>
      <c r="BA19" s="5"/>
    </row>
    <row r="20" spans="1:53" x14ac:dyDescent="0.25">
      <c r="A20" s="5"/>
      <c r="B20" s="5"/>
      <c r="C20" s="5"/>
      <c r="D20" s="5"/>
      <c r="E20" s="5"/>
      <c r="F20" s="5"/>
      <c r="G20" s="5"/>
      <c r="H20" s="4"/>
      <c r="I20" s="19"/>
      <c r="J20" s="8"/>
      <c r="K20" s="17"/>
      <c r="L20" s="9"/>
      <c r="M20" s="9"/>
      <c r="N20" s="9"/>
      <c r="O20" s="9"/>
      <c r="P20" s="9"/>
      <c r="Q20" s="9"/>
      <c r="R20" s="9"/>
      <c r="S20" s="9"/>
      <c r="T20" s="9"/>
      <c r="U20" s="9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5"/>
      <c r="AZ20" s="5"/>
      <c r="BA20" s="5"/>
    </row>
    <row r="21" spans="1:53" x14ac:dyDescent="0.25">
      <c r="A21" s="5"/>
      <c r="B21" s="5"/>
      <c r="C21" s="5"/>
      <c r="D21" s="5"/>
      <c r="E21" s="5"/>
      <c r="F21" s="5"/>
      <c r="G21" s="5"/>
      <c r="H21" s="4"/>
      <c r="I21" s="19"/>
      <c r="J21" s="8"/>
      <c r="K21" s="17"/>
      <c r="L21" s="9"/>
      <c r="M21" s="9"/>
      <c r="N21" s="9"/>
      <c r="O21" s="9"/>
      <c r="P21" s="9"/>
      <c r="Q21" s="9"/>
      <c r="R21" s="9"/>
      <c r="S21" s="9"/>
      <c r="T21" s="9"/>
      <c r="U21" s="9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5"/>
      <c r="AZ21" s="5"/>
      <c r="BA21" s="5"/>
    </row>
    <row r="22" spans="1:53" x14ac:dyDescent="0.25">
      <c r="A22" s="5"/>
      <c r="B22" s="5"/>
      <c r="C22" s="5"/>
      <c r="D22" s="5"/>
      <c r="E22" s="5"/>
      <c r="F22" s="5"/>
      <c r="G22" s="5"/>
      <c r="H22" s="4"/>
      <c r="I22" s="19"/>
      <c r="J22" s="8"/>
      <c r="K22" s="17"/>
      <c r="L22" s="9"/>
      <c r="M22" s="9"/>
      <c r="N22" s="9"/>
      <c r="O22" s="9"/>
      <c r="P22" s="9"/>
      <c r="Q22" s="9"/>
      <c r="R22" s="9"/>
      <c r="S22" s="9"/>
      <c r="T22" s="9"/>
      <c r="U22" s="9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5"/>
      <c r="AZ22" s="5"/>
      <c r="BA22" s="5"/>
    </row>
    <row r="23" spans="1:53" x14ac:dyDescent="0.25">
      <c r="A23" s="5"/>
      <c r="B23" s="5"/>
      <c r="C23" s="5"/>
      <c r="D23" s="5"/>
      <c r="E23" s="5"/>
      <c r="F23" s="5"/>
      <c r="G23" s="5"/>
      <c r="H23" s="4"/>
      <c r="I23" s="19"/>
      <c r="J23" s="8"/>
      <c r="K23" s="17"/>
      <c r="L23" s="9"/>
      <c r="M23" s="9"/>
      <c r="N23" s="9"/>
      <c r="O23" s="9"/>
      <c r="P23" s="9"/>
      <c r="Q23" s="9"/>
      <c r="R23" s="9"/>
      <c r="S23" s="9"/>
      <c r="T23" s="9"/>
      <c r="U23" s="9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5"/>
      <c r="AZ23" s="5"/>
      <c r="BA23" s="5"/>
    </row>
    <row r="24" spans="1:53" x14ac:dyDescent="0.25">
      <c r="A24" s="5"/>
      <c r="B24" s="5"/>
      <c r="C24" s="5"/>
      <c r="D24" s="5"/>
      <c r="E24" s="5"/>
      <c r="F24" s="5"/>
      <c r="G24" s="5"/>
      <c r="H24" s="4"/>
      <c r="I24" s="19"/>
      <c r="J24" s="8"/>
      <c r="K24" s="17"/>
      <c r="L24" s="9"/>
      <c r="M24" s="9"/>
      <c r="N24" s="9"/>
      <c r="O24" s="9"/>
      <c r="P24" s="9"/>
      <c r="Q24" s="9"/>
      <c r="R24" s="9"/>
      <c r="S24" s="9"/>
      <c r="T24" s="9"/>
      <c r="U24" s="9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5"/>
      <c r="AZ24" s="5"/>
      <c r="BA24" s="5"/>
    </row>
    <row r="25" spans="1:53" x14ac:dyDescent="0.25">
      <c r="A25" s="5"/>
      <c r="B25" s="5"/>
      <c r="C25" s="5"/>
      <c r="D25" s="5"/>
      <c r="E25" s="5"/>
      <c r="F25" s="5"/>
      <c r="G25" s="5"/>
      <c r="H25" s="4"/>
      <c r="I25" s="19"/>
      <c r="J25" s="8"/>
      <c r="K25" s="17"/>
      <c r="L25" s="9"/>
      <c r="M25" s="9"/>
      <c r="N25" s="9"/>
      <c r="O25" s="9"/>
      <c r="P25" s="9"/>
      <c r="Q25" s="9"/>
      <c r="R25" s="9"/>
      <c r="S25" s="9"/>
      <c r="T25" s="9"/>
      <c r="U25" s="9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5"/>
      <c r="AZ25" s="5"/>
      <c r="BA25" s="5"/>
    </row>
    <row r="26" spans="1:53" x14ac:dyDescent="0.25">
      <c r="A26" s="5"/>
      <c r="B26" s="5"/>
      <c r="C26" s="5"/>
      <c r="D26" s="5"/>
      <c r="E26" s="5"/>
      <c r="F26" s="5"/>
      <c r="G26" s="5"/>
      <c r="H26" s="4"/>
      <c r="I26" s="19"/>
      <c r="J26" s="8"/>
      <c r="K26" s="17"/>
      <c r="L26" s="9"/>
      <c r="M26" s="9"/>
      <c r="N26" s="9"/>
      <c r="O26" s="9"/>
      <c r="P26" s="9"/>
      <c r="Q26" s="9"/>
      <c r="R26" s="9"/>
      <c r="S26" s="9"/>
      <c r="T26" s="9"/>
      <c r="U26" s="9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5"/>
      <c r="AZ26" s="5"/>
      <c r="BA26" s="5"/>
    </row>
    <row r="27" spans="1:53" x14ac:dyDescent="0.25">
      <c r="A27" s="5"/>
      <c r="B27" s="5"/>
      <c r="C27" s="5"/>
      <c r="D27" s="5"/>
      <c r="E27" s="5"/>
      <c r="F27" s="5"/>
      <c r="G27" s="5"/>
      <c r="H27" s="4"/>
      <c r="I27" s="19"/>
      <c r="J27" s="8"/>
      <c r="K27" s="17"/>
      <c r="L27" s="9"/>
      <c r="M27" s="9"/>
      <c r="N27" s="9"/>
      <c r="O27" s="9"/>
      <c r="P27" s="9"/>
      <c r="Q27" s="9"/>
      <c r="R27" s="9"/>
      <c r="S27" s="9"/>
      <c r="T27" s="9"/>
      <c r="U27" s="9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5"/>
      <c r="AZ27" s="5"/>
      <c r="BA27" s="5"/>
    </row>
    <row r="28" spans="1:53" x14ac:dyDescent="0.25">
      <c r="A28" s="5"/>
      <c r="B28" s="5"/>
      <c r="C28" s="5"/>
      <c r="D28" s="5"/>
      <c r="E28" s="5"/>
      <c r="F28" s="5"/>
      <c r="G28" s="5"/>
      <c r="H28" s="4"/>
      <c r="I28" s="19"/>
      <c r="J28" s="8"/>
      <c r="K28" s="17"/>
      <c r="L28" s="9"/>
      <c r="M28" s="9"/>
      <c r="N28" s="9"/>
      <c r="O28" s="9"/>
      <c r="P28" s="9"/>
      <c r="Q28" s="9"/>
      <c r="R28" s="9"/>
      <c r="S28" s="9"/>
      <c r="T28" s="9"/>
      <c r="U28" s="9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5"/>
      <c r="AZ28" s="5"/>
      <c r="BA28" s="5"/>
    </row>
    <row r="29" spans="1:53" x14ac:dyDescent="0.25">
      <c r="A29" s="5"/>
      <c r="B29" s="5"/>
      <c r="C29" s="5"/>
      <c r="D29" s="5"/>
      <c r="E29" s="5"/>
      <c r="F29" s="5"/>
      <c r="G29" s="5"/>
      <c r="H29" s="4"/>
      <c r="I29" s="19"/>
      <c r="J29" s="8"/>
      <c r="K29" s="17"/>
      <c r="L29" s="9"/>
      <c r="M29" s="9"/>
      <c r="N29" s="9"/>
      <c r="O29" s="9"/>
      <c r="P29" s="9"/>
      <c r="Q29" s="9"/>
      <c r="R29" s="9"/>
      <c r="S29" s="9"/>
      <c r="T29" s="9"/>
      <c r="U29" s="9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</row>
    <row r="30" spans="1:53" x14ac:dyDescent="0.25">
      <c r="A30" s="5"/>
      <c r="B30" s="5"/>
      <c r="C30" s="5"/>
      <c r="D30" s="5"/>
      <c r="E30" s="5"/>
      <c r="F30" s="5"/>
      <c r="G30" s="5"/>
      <c r="H30" s="4"/>
      <c r="I30" s="19"/>
      <c r="J30" s="8"/>
      <c r="K30" s="17"/>
      <c r="L30" s="9"/>
      <c r="M30" s="9"/>
      <c r="N30" s="9"/>
      <c r="O30" s="9"/>
      <c r="P30" s="9"/>
      <c r="Q30" s="9"/>
      <c r="R30" s="9"/>
      <c r="S30" s="9"/>
      <c r="T30" s="9"/>
      <c r="U30" s="9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</row>
    <row r="31" spans="1:53" x14ac:dyDescent="0.25">
      <c r="A31" s="5"/>
      <c r="B31" s="5"/>
      <c r="C31" s="5"/>
      <c r="D31" s="5"/>
      <c r="E31" s="5"/>
      <c r="F31" s="5"/>
      <c r="G31" s="5"/>
      <c r="H31" s="4"/>
      <c r="I31" s="19"/>
      <c r="J31" s="8"/>
      <c r="K31" s="17"/>
      <c r="L31" s="9"/>
      <c r="M31" s="9"/>
      <c r="N31" s="9"/>
      <c r="O31" s="9"/>
      <c r="P31" s="9"/>
      <c r="Q31" s="9"/>
      <c r="R31" s="9"/>
      <c r="S31" s="9"/>
      <c r="T31" s="9"/>
      <c r="U31" s="9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</row>
    <row r="32" spans="1:53" x14ac:dyDescent="0.25">
      <c r="A32" s="5"/>
      <c r="B32" s="5"/>
      <c r="C32" s="5"/>
      <c r="D32" s="5"/>
      <c r="E32" s="5"/>
      <c r="F32" s="5"/>
      <c r="G32" s="5"/>
      <c r="H32" s="4"/>
      <c r="I32" s="19"/>
      <c r="J32" s="8"/>
      <c r="K32" s="17"/>
      <c r="L32" s="9"/>
      <c r="M32" s="9"/>
      <c r="N32" s="9"/>
      <c r="O32" s="9"/>
      <c r="P32" s="9"/>
      <c r="Q32" s="9"/>
      <c r="R32" s="9"/>
      <c r="S32" s="9"/>
      <c r="T32" s="9"/>
      <c r="U32" s="9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</row>
    <row r="33" spans="1:53" x14ac:dyDescent="0.25">
      <c r="A33" s="5"/>
      <c r="B33" s="5"/>
      <c r="C33" s="5"/>
      <c r="D33" s="5"/>
      <c r="E33" s="5"/>
      <c r="F33" s="5"/>
      <c r="G33" s="5"/>
      <c r="H33" s="4"/>
      <c r="I33" s="19"/>
      <c r="J33" s="8"/>
      <c r="K33" s="17"/>
      <c r="L33" s="9"/>
      <c r="M33" s="9"/>
      <c r="N33" s="9"/>
      <c r="O33" s="9"/>
      <c r="P33" s="9"/>
      <c r="Q33" s="9"/>
      <c r="R33" s="9"/>
      <c r="S33" s="9"/>
      <c r="T33" s="9"/>
      <c r="U33" s="9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</row>
    <row r="34" spans="1:53" x14ac:dyDescent="0.25">
      <c r="A34" s="5"/>
      <c r="B34" s="5"/>
      <c r="C34" s="5"/>
      <c r="D34" s="5"/>
      <c r="E34" s="5"/>
      <c r="F34" s="5"/>
      <c r="G34" s="5"/>
      <c r="H34" s="4"/>
      <c r="I34" s="19"/>
      <c r="J34" s="8"/>
      <c r="K34" s="17"/>
      <c r="L34" s="9"/>
      <c r="M34" s="9"/>
      <c r="N34" s="9"/>
      <c r="O34" s="9"/>
      <c r="P34" s="9"/>
      <c r="Q34" s="9"/>
      <c r="R34" s="9"/>
      <c r="S34" s="9"/>
      <c r="T34" s="9"/>
      <c r="U34" s="9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5"/>
      <c r="AZ34" s="5"/>
      <c r="BA34" s="5"/>
    </row>
    <row r="35" spans="1:53" x14ac:dyDescent="0.25">
      <c r="A35" s="5"/>
      <c r="B35" s="5"/>
      <c r="C35" s="5"/>
      <c r="D35" s="5"/>
      <c r="E35" s="5"/>
      <c r="F35" s="5"/>
      <c r="G35" s="5"/>
      <c r="H35" s="4"/>
      <c r="I35" s="19"/>
      <c r="J35" s="8"/>
      <c r="K35" s="17"/>
      <c r="L35" s="9"/>
      <c r="M35" s="9"/>
      <c r="N35" s="9"/>
      <c r="O35" s="9"/>
      <c r="P35" s="9"/>
      <c r="Q35" s="9"/>
      <c r="R35" s="9"/>
      <c r="S35" s="9"/>
      <c r="T35" s="9"/>
      <c r="U35" s="9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</row>
    <row r="36" spans="1:53" x14ac:dyDescent="0.25">
      <c r="A36" s="5"/>
      <c r="B36" s="5"/>
      <c r="C36" s="5"/>
      <c r="D36" s="5"/>
      <c r="E36" s="5"/>
      <c r="F36" s="5"/>
      <c r="G36" s="5"/>
      <c r="H36" s="4"/>
      <c r="I36" s="19"/>
      <c r="J36" s="8"/>
      <c r="K36" s="17"/>
      <c r="L36" s="9"/>
      <c r="M36" s="9"/>
      <c r="N36" s="9"/>
      <c r="O36" s="9"/>
      <c r="P36" s="9"/>
      <c r="Q36" s="9"/>
      <c r="R36" s="9"/>
      <c r="S36" s="9"/>
      <c r="T36" s="9"/>
      <c r="U36" s="9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</row>
    <row r="37" spans="1:53" x14ac:dyDescent="0.25">
      <c r="A37" s="5"/>
      <c r="B37" s="5"/>
      <c r="C37" s="5"/>
      <c r="D37" s="5"/>
      <c r="E37" s="5"/>
      <c r="F37" s="5"/>
      <c r="G37" s="5"/>
      <c r="H37" s="4"/>
      <c r="I37" s="19"/>
      <c r="J37" s="8"/>
      <c r="K37" s="17"/>
      <c r="L37" s="9"/>
      <c r="M37" s="9"/>
      <c r="N37" s="9"/>
      <c r="O37" s="9"/>
      <c r="P37" s="9"/>
      <c r="Q37" s="9"/>
      <c r="R37" s="9"/>
      <c r="S37" s="9"/>
      <c r="T37" s="9"/>
      <c r="U37" s="9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</row>
    <row r="38" spans="1:53" x14ac:dyDescent="0.25">
      <c r="A38" s="5"/>
      <c r="B38" s="5"/>
      <c r="C38" s="5"/>
      <c r="D38" s="5"/>
      <c r="E38" s="5"/>
      <c r="F38" s="5"/>
      <c r="G38" s="5"/>
      <c r="H38" s="4"/>
      <c r="I38" s="19"/>
      <c r="J38" s="8"/>
      <c r="K38" s="17"/>
      <c r="L38" s="9"/>
      <c r="M38" s="9"/>
      <c r="N38" s="9"/>
      <c r="O38" s="9"/>
      <c r="P38" s="9"/>
      <c r="Q38" s="9"/>
      <c r="R38" s="9"/>
      <c r="S38" s="9"/>
      <c r="T38" s="9"/>
      <c r="U38" s="9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</row>
    <row r="39" spans="1:53" x14ac:dyDescent="0.25">
      <c r="A39" s="5"/>
      <c r="B39" s="5"/>
      <c r="C39" s="5"/>
      <c r="D39" s="5"/>
      <c r="E39" s="5"/>
      <c r="F39" s="5"/>
      <c r="G39" s="5"/>
      <c r="H39" s="4"/>
      <c r="I39" s="19"/>
      <c r="J39" s="8"/>
      <c r="K39" s="17"/>
      <c r="L39" s="9"/>
      <c r="M39" s="9"/>
      <c r="N39" s="9"/>
      <c r="O39" s="9"/>
      <c r="P39" s="9"/>
      <c r="Q39" s="9"/>
      <c r="R39" s="9"/>
      <c r="S39" s="9"/>
      <c r="T39" s="9"/>
      <c r="U39" s="9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</row>
    <row r="40" spans="1:53" x14ac:dyDescent="0.25">
      <c r="A40" s="5"/>
      <c r="B40" s="5"/>
      <c r="C40" s="5"/>
      <c r="D40" s="5"/>
      <c r="E40" s="5"/>
      <c r="F40" s="5"/>
      <c r="G40" s="5"/>
      <c r="H40" s="4"/>
      <c r="I40" s="19"/>
      <c r="J40" s="8"/>
      <c r="K40" s="17"/>
      <c r="L40" s="9"/>
      <c r="M40" s="9"/>
      <c r="N40" s="9"/>
      <c r="O40" s="9"/>
      <c r="P40" s="9"/>
      <c r="Q40" s="9"/>
      <c r="R40" s="9"/>
      <c r="S40" s="9"/>
      <c r="T40" s="9"/>
      <c r="U40" s="9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5"/>
      <c r="AZ40" s="5"/>
      <c r="BA40" s="5"/>
    </row>
    <row r="41" spans="1:53" x14ac:dyDescent="0.25">
      <c r="A41" s="5"/>
      <c r="B41" s="5"/>
      <c r="C41" s="5"/>
      <c r="D41" s="5"/>
      <c r="E41" s="5"/>
      <c r="F41" s="5"/>
      <c r="G41" s="5"/>
      <c r="H41" s="4"/>
      <c r="I41" s="19"/>
      <c r="J41" s="8"/>
      <c r="K41" s="17"/>
      <c r="L41" s="9"/>
      <c r="M41" s="9"/>
      <c r="N41" s="9"/>
      <c r="O41" s="9"/>
      <c r="P41" s="9"/>
      <c r="Q41" s="9"/>
      <c r="R41" s="9"/>
      <c r="S41" s="9"/>
      <c r="T41" s="9"/>
      <c r="U41" s="9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</row>
    <row r="42" spans="1:53" x14ac:dyDescent="0.25">
      <c r="A42" s="5"/>
      <c r="B42" s="5"/>
      <c r="C42" s="5"/>
      <c r="D42" s="5"/>
      <c r="E42" s="5"/>
      <c r="F42" s="5"/>
      <c r="G42" s="5"/>
      <c r="H42" s="4"/>
      <c r="I42" s="19"/>
      <c r="J42" s="8"/>
      <c r="K42" s="17"/>
      <c r="L42" s="9"/>
      <c r="M42" s="9"/>
      <c r="N42" s="9"/>
      <c r="O42" s="9"/>
      <c r="P42" s="9"/>
      <c r="Q42" s="9"/>
      <c r="R42" s="9"/>
      <c r="S42" s="9"/>
      <c r="T42" s="9"/>
      <c r="U42" s="9"/>
      <c r="V42" s="5"/>
      <c r="W42" s="5"/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</row>
    <row r="43" spans="1:53" x14ac:dyDescent="0.25">
      <c r="A43" s="5"/>
      <c r="B43" s="5"/>
      <c r="C43" s="5"/>
      <c r="D43" s="5"/>
      <c r="E43" s="5"/>
      <c r="F43" s="5"/>
      <c r="G43" s="5"/>
      <c r="H43" s="4"/>
      <c r="I43" s="19"/>
      <c r="J43" s="8"/>
      <c r="K43" s="17"/>
      <c r="L43" s="9"/>
      <c r="M43" s="9"/>
      <c r="N43" s="9"/>
      <c r="O43" s="9"/>
      <c r="P43" s="9"/>
      <c r="Q43" s="9"/>
      <c r="R43" s="9"/>
      <c r="S43" s="9"/>
      <c r="T43" s="9"/>
      <c r="U43" s="9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</row>
    <row r="44" spans="1:53" x14ac:dyDescent="0.25">
      <c r="A44" s="5"/>
      <c r="B44" s="5"/>
      <c r="C44" s="5"/>
      <c r="D44" s="5"/>
      <c r="E44" s="5"/>
      <c r="F44" s="5"/>
      <c r="G44" s="5"/>
      <c r="H44" s="4"/>
      <c r="I44" s="19"/>
      <c r="J44" s="8"/>
      <c r="K44" s="17"/>
      <c r="L44" s="9"/>
      <c r="M44" s="9"/>
      <c r="N44" s="9"/>
      <c r="O44" s="9"/>
      <c r="P44" s="9"/>
      <c r="Q44" s="9"/>
      <c r="R44" s="9"/>
      <c r="S44" s="9"/>
      <c r="T44" s="9"/>
      <c r="U44" s="9"/>
      <c r="V44" s="5"/>
      <c r="W44" s="5"/>
      <c r="X44" s="5"/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</row>
    <row r="45" spans="1:53" x14ac:dyDescent="0.25">
      <c r="A45" s="5"/>
      <c r="B45" s="5"/>
      <c r="C45" s="5"/>
      <c r="D45" s="5"/>
      <c r="E45" s="5"/>
      <c r="F45" s="5"/>
      <c r="G45" s="5"/>
      <c r="H45" s="4"/>
      <c r="I45" s="19"/>
      <c r="J45" s="8"/>
      <c r="K45" s="17"/>
      <c r="L45" s="9"/>
      <c r="M45" s="9"/>
      <c r="N45" s="9"/>
      <c r="O45" s="9"/>
      <c r="P45" s="9"/>
      <c r="Q45" s="9"/>
      <c r="R45" s="9"/>
      <c r="S45" s="9"/>
      <c r="T45" s="9"/>
      <c r="U45" s="9"/>
      <c r="V45" s="5"/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</row>
    <row r="46" spans="1:53" x14ac:dyDescent="0.25">
      <c r="A46" s="5"/>
      <c r="B46" s="5"/>
      <c r="C46" s="5"/>
      <c r="D46" s="5"/>
      <c r="E46" s="5"/>
      <c r="F46" s="5"/>
      <c r="G46" s="5"/>
      <c r="H46" s="4"/>
      <c r="I46" s="19"/>
      <c r="J46" s="8"/>
      <c r="K46" s="17"/>
      <c r="L46" s="9"/>
      <c r="M46" s="9"/>
      <c r="N46" s="9"/>
      <c r="O46" s="9"/>
      <c r="P46" s="9"/>
      <c r="Q46" s="9"/>
      <c r="R46" s="9"/>
      <c r="S46" s="9"/>
      <c r="T46" s="9"/>
      <c r="U46" s="9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5"/>
      <c r="AY46" s="5"/>
      <c r="AZ46" s="5"/>
      <c r="BA46" s="5"/>
    </row>
    <row r="47" spans="1:53" x14ac:dyDescent="0.25">
      <c r="A47" s="5"/>
      <c r="B47" s="5"/>
      <c r="C47" s="5"/>
      <c r="D47" s="5"/>
      <c r="E47" s="5"/>
      <c r="F47" s="5"/>
      <c r="G47" s="5"/>
      <c r="H47" s="4"/>
      <c r="I47" s="19"/>
      <c r="J47" s="8"/>
      <c r="K47" s="17"/>
      <c r="L47" s="9"/>
      <c r="M47" s="9"/>
      <c r="N47" s="9"/>
      <c r="O47" s="9"/>
      <c r="P47" s="9"/>
      <c r="Q47" s="9"/>
      <c r="R47" s="9"/>
      <c r="S47" s="9"/>
      <c r="T47" s="9"/>
      <c r="U47" s="9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</row>
    <row r="48" spans="1:53" x14ac:dyDescent="0.25">
      <c r="A48" s="5"/>
      <c r="B48" s="5"/>
      <c r="C48" s="5"/>
      <c r="D48" s="5"/>
      <c r="E48" s="5"/>
      <c r="F48" s="5"/>
      <c r="G48" s="5"/>
      <c r="H48" s="4"/>
      <c r="I48" s="19"/>
      <c r="J48" s="8"/>
      <c r="K48" s="17"/>
      <c r="L48" s="9"/>
      <c r="M48" s="9"/>
      <c r="N48" s="9"/>
      <c r="O48" s="9"/>
      <c r="P48" s="9"/>
      <c r="Q48" s="9"/>
      <c r="R48" s="9"/>
      <c r="S48" s="9"/>
      <c r="T48" s="9"/>
      <c r="U48" s="9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</row>
    <row r="49" spans="1:53" x14ac:dyDescent="0.25">
      <c r="A49" s="5"/>
      <c r="B49" s="5"/>
      <c r="C49" s="5"/>
      <c r="D49" s="5"/>
      <c r="E49" s="5"/>
      <c r="F49" s="5"/>
      <c r="G49" s="5"/>
      <c r="H49" s="4"/>
      <c r="I49" s="19"/>
      <c r="J49" s="8"/>
      <c r="K49" s="17"/>
      <c r="L49" s="9"/>
      <c r="M49" s="9"/>
      <c r="N49" s="9"/>
      <c r="O49" s="9"/>
      <c r="P49" s="9"/>
      <c r="Q49" s="9"/>
      <c r="R49" s="9"/>
      <c r="S49" s="9"/>
      <c r="T49" s="9"/>
      <c r="U49" s="9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</row>
    <row r="50" spans="1:53" x14ac:dyDescent="0.25">
      <c r="A50" s="5"/>
      <c r="B50" s="5"/>
      <c r="C50" s="5"/>
      <c r="D50" s="5"/>
      <c r="E50" s="5"/>
      <c r="F50" s="5"/>
      <c r="G50" s="5"/>
      <c r="H50" s="4"/>
      <c r="I50" s="19"/>
      <c r="J50" s="8"/>
      <c r="K50" s="17"/>
      <c r="L50" s="9"/>
      <c r="M50" s="9"/>
      <c r="N50" s="9"/>
      <c r="O50" s="9"/>
      <c r="P50" s="9"/>
      <c r="Q50" s="9"/>
      <c r="R50" s="9"/>
      <c r="S50" s="9"/>
      <c r="T50" s="9"/>
      <c r="U50" s="9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</row>
    <row r="51" spans="1:53" x14ac:dyDescent="0.25">
      <c r="A51" s="5"/>
      <c r="B51" s="5"/>
      <c r="C51" s="5"/>
      <c r="D51" s="5"/>
      <c r="E51" s="5"/>
      <c r="F51" s="5"/>
      <c r="G51" s="5"/>
      <c r="H51" s="4"/>
      <c r="I51" s="19"/>
      <c r="J51" s="8"/>
      <c r="K51" s="17"/>
      <c r="L51" s="9"/>
      <c r="M51" s="9"/>
      <c r="N51" s="9"/>
      <c r="O51" s="9"/>
      <c r="P51" s="9"/>
      <c r="Q51" s="9"/>
      <c r="R51" s="9"/>
      <c r="S51" s="9"/>
      <c r="T51" s="9"/>
      <c r="U51" s="9"/>
      <c r="V51" s="5"/>
      <c r="W51" s="5"/>
      <c r="X51" s="5"/>
      <c r="Y51" s="5"/>
      <c r="Z51" s="5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5"/>
      <c r="AO51" s="5"/>
      <c r="AP51" s="5"/>
      <c r="AQ51" s="5"/>
      <c r="AR51" s="5"/>
      <c r="AS51" s="5"/>
      <c r="AT51" s="5"/>
      <c r="AU51" s="5"/>
      <c r="AV51" s="5"/>
      <c r="AW51" s="5"/>
      <c r="AX51" s="5"/>
      <c r="AY51" s="5"/>
      <c r="AZ51" s="5"/>
      <c r="BA51" s="5"/>
    </row>
    <row r="52" spans="1:53" x14ac:dyDescent="0.25">
      <c r="A52" s="5"/>
      <c r="B52" s="5"/>
      <c r="C52" s="5"/>
      <c r="D52" s="5"/>
      <c r="E52" s="5"/>
      <c r="F52" s="5"/>
      <c r="G52" s="5"/>
      <c r="H52" s="4"/>
      <c r="I52" s="19"/>
      <c r="J52" s="8"/>
      <c r="K52" s="17"/>
      <c r="L52" s="9"/>
      <c r="M52" s="9"/>
      <c r="N52" s="9"/>
      <c r="O52" s="9"/>
      <c r="P52" s="9"/>
      <c r="Q52" s="9"/>
      <c r="R52" s="9"/>
      <c r="S52" s="9"/>
      <c r="T52" s="9"/>
      <c r="U52" s="9"/>
      <c r="V52" s="5"/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</row>
    <row r="53" spans="1:53" x14ac:dyDescent="0.25">
      <c r="A53" s="5"/>
      <c r="B53" s="5"/>
      <c r="C53" s="5"/>
      <c r="D53" s="5"/>
      <c r="E53" s="5"/>
      <c r="F53" s="5"/>
      <c r="G53" s="5"/>
      <c r="H53" s="4"/>
      <c r="I53" s="19"/>
      <c r="J53" s="8"/>
      <c r="K53" s="17"/>
      <c r="L53" s="9"/>
      <c r="M53" s="9"/>
      <c r="N53" s="9"/>
      <c r="O53" s="9"/>
      <c r="P53" s="9"/>
      <c r="Q53" s="9"/>
      <c r="R53" s="9"/>
      <c r="S53" s="9"/>
      <c r="T53" s="9"/>
      <c r="U53" s="9"/>
      <c r="V53" s="5"/>
      <c r="W53" s="5"/>
      <c r="X53" s="5"/>
      <c r="Y53" s="5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5"/>
      <c r="AO53" s="5"/>
      <c r="AP53" s="5"/>
      <c r="AQ53" s="5"/>
      <c r="AR53" s="5"/>
      <c r="AS53" s="5"/>
      <c r="AT53" s="5"/>
      <c r="AU53" s="5"/>
      <c r="AV53" s="5"/>
      <c r="AW53" s="5"/>
      <c r="AX53" s="5"/>
      <c r="AY53" s="5"/>
      <c r="AZ53" s="5"/>
      <c r="BA53" s="5"/>
    </row>
    <row r="54" spans="1:53" x14ac:dyDescent="0.25">
      <c r="A54" s="5"/>
      <c r="B54" s="5"/>
      <c r="C54" s="5"/>
      <c r="D54" s="5"/>
      <c r="E54" s="5"/>
      <c r="F54" s="5"/>
      <c r="G54" s="5"/>
      <c r="H54" s="4"/>
      <c r="I54" s="19"/>
      <c r="J54" s="8"/>
      <c r="K54" s="17"/>
      <c r="L54" s="9"/>
      <c r="M54" s="9"/>
      <c r="N54" s="9"/>
      <c r="O54" s="9"/>
      <c r="P54" s="9"/>
      <c r="Q54" s="9"/>
      <c r="R54" s="9"/>
      <c r="S54" s="9"/>
      <c r="T54" s="9"/>
      <c r="U54" s="9"/>
      <c r="V54" s="5"/>
      <c r="W54" s="5"/>
      <c r="X54" s="5"/>
      <c r="Y54" s="5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5"/>
      <c r="AO54" s="5"/>
      <c r="AP54" s="5"/>
      <c r="AQ54" s="5"/>
      <c r="AR54" s="5"/>
      <c r="AS54" s="5"/>
      <c r="AT54" s="5"/>
      <c r="AU54" s="5"/>
      <c r="AV54" s="5"/>
      <c r="AW54" s="5"/>
      <c r="AX54" s="5"/>
      <c r="AY54" s="5"/>
      <c r="AZ54" s="5"/>
      <c r="BA54" s="5"/>
    </row>
    <row r="55" spans="1:53" x14ac:dyDescent="0.25">
      <c r="A55" s="5"/>
      <c r="B55" s="5"/>
      <c r="C55" s="5"/>
      <c r="D55" s="5"/>
      <c r="E55" s="5"/>
      <c r="F55" s="5"/>
      <c r="G55" s="5"/>
      <c r="H55" s="4"/>
      <c r="I55" s="19"/>
      <c r="J55" s="8"/>
      <c r="K55" s="17"/>
      <c r="L55" s="9"/>
      <c r="M55" s="9"/>
      <c r="N55" s="9"/>
      <c r="O55" s="9"/>
      <c r="P55" s="9"/>
      <c r="Q55" s="9"/>
      <c r="R55" s="9"/>
      <c r="S55" s="9"/>
      <c r="T55" s="9"/>
      <c r="U55" s="9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</row>
    <row r="56" spans="1:53" x14ac:dyDescent="0.25">
      <c r="A56" s="5"/>
      <c r="B56" s="5"/>
      <c r="C56" s="5"/>
      <c r="D56" s="5"/>
      <c r="E56" s="5"/>
      <c r="F56" s="5"/>
      <c r="G56" s="5"/>
      <c r="H56" s="4"/>
      <c r="I56" s="19"/>
      <c r="J56" s="8"/>
      <c r="K56" s="17"/>
      <c r="L56" s="9"/>
      <c r="M56" s="9"/>
      <c r="N56" s="9"/>
      <c r="O56" s="9"/>
      <c r="P56" s="9"/>
      <c r="Q56" s="9"/>
      <c r="R56" s="9"/>
      <c r="S56" s="9"/>
      <c r="T56" s="9"/>
      <c r="U56" s="9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5"/>
      <c r="AQ56" s="5"/>
      <c r="AR56" s="5"/>
      <c r="AS56" s="5"/>
      <c r="AT56" s="5"/>
      <c r="AU56" s="5"/>
      <c r="AV56" s="5"/>
      <c r="AW56" s="5"/>
      <c r="AX56" s="5"/>
      <c r="AY56" s="5"/>
      <c r="AZ56" s="5"/>
      <c r="BA56" s="5"/>
    </row>
    <row r="57" spans="1:53" x14ac:dyDescent="0.25">
      <c r="A57" s="5"/>
      <c r="B57" s="5"/>
      <c r="C57" s="5"/>
      <c r="D57" s="5"/>
      <c r="E57" s="5"/>
      <c r="F57" s="5"/>
      <c r="G57" s="5"/>
      <c r="H57" s="4"/>
      <c r="I57" s="19"/>
      <c r="J57" s="8"/>
      <c r="K57" s="17"/>
      <c r="L57" s="9"/>
      <c r="M57" s="9"/>
      <c r="N57" s="9"/>
      <c r="O57" s="9"/>
      <c r="P57" s="9"/>
      <c r="Q57" s="9"/>
      <c r="R57" s="9"/>
      <c r="S57" s="9"/>
      <c r="T57" s="9"/>
      <c r="U57" s="9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5"/>
      <c r="AQ57" s="5"/>
      <c r="AR57" s="5"/>
      <c r="AS57" s="5"/>
      <c r="AT57" s="5"/>
      <c r="AU57" s="5"/>
      <c r="AV57" s="5"/>
      <c r="AW57" s="5"/>
      <c r="AX57" s="5"/>
      <c r="AY57" s="5"/>
      <c r="AZ57" s="5"/>
      <c r="BA57" s="5"/>
    </row>
    <row r="58" spans="1:53" x14ac:dyDescent="0.25">
      <c r="A58" s="5"/>
      <c r="B58" s="5"/>
      <c r="C58" s="5"/>
      <c r="D58" s="5"/>
      <c r="E58" s="5"/>
      <c r="F58" s="5"/>
      <c r="G58" s="5"/>
      <c r="H58" s="4"/>
      <c r="I58" s="19"/>
      <c r="J58" s="8"/>
      <c r="K58" s="17"/>
      <c r="L58" s="9"/>
      <c r="M58" s="9"/>
      <c r="N58" s="9"/>
      <c r="O58" s="9"/>
      <c r="P58" s="9"/>
      <c r="Q58" s="9"/>
      <c r="R58" s="9"/>
      <c r="S58" s="9"/>
      <c r="T58" s="9"/>
      <c r="U58" s="9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5"/>
      <c r="AO58" s="5"/>
      <c r="AP58" s="5"/>
      <c r="AQ58" s="5"/>
      <c r="AR58" s="5"/>
      <c r="AS58" s="5"/>
      <c r="AT58" s="5"/>
      <c r="AU58" s="5"/>
      <c r="AV58" s="5"/>
      <c r="AW58" s="5"/>
      <c r="AX58" s="5"/>
      <c r="AY58" s="5"/>
      <c r="AZ58" s="5"/>
      <c r="BA58" s="5"/>
    </row>
    <row r="59" spans="1:53" x14ac:dyDescent="0.25">
      <c r="A59" s="5"/>
      <c r="B59" s="5"/>
      <c r="C59" s="5"/>
      <c r="D59" s="5"/>
      <c r="E59" s="5"/>
      <c r="F59" s="5"/>
      <c r="G59" s="5"/>
      <c r="H59" s="4"/>
      <c r="I59" s="19"/>
      <c r="J59" s="8"/>
      <c r="K59" s="17"/>
      <c r="L59" s="9"/>
      <c r="M59" s="9"/>
      <c r="N59" s="9"/>
      <c r="O59" s="9"/>
      <c r="P59" s="9"/>
      <c r="Q59" s="9"/>
      <c r="R59" s="9"/>
      <c r="S59" s="9"/>
      <c r="T59" s="9"/>
      <c r="U59" s="9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5"/>
      <c r="AO59" s="5"/>
      <c r="AP59" s="5"/>
      <c r="AQ59" s="5"/>
      <c r="AR59" s="5"/>
      <c r="AS59" s="5"/>
      <c r="AT59" s="5"/>
      <c r="AU59" s="5"/>
      <c r="AV59" s="5"/>
      <c r="AW59" s="5"/>
      <c r="AX59" s="5"/>
      <c r="AY59" s="5"/>
      <c r="AZ59" s="5"/>
      <c r="BA59" s="5"/>
    </row>
    <row r="60" spans="1:53" x14ac:dyDescent="0.25">
      <c r="A60" s="5"/>
      <c r="B60" s="5"/>
      <c r="C60" s="5"/>
      <c r="D60" s="5"/>
      <c r="E60" s="5"/>
      <c r="F60" s="5"/>
      <c r="G60" s="5"/>
      <c r="H60" s="4"/>
      <c r="I60" s="19"/>
      <c r="J60" s="8"/>
      <c r="K60" s="17"/>
      <c r="L60" s="9"/>
      <c r="M60" s="9"/>
      <c r="N60" s="9"/>
      <c r="O60" s="9"/>
      <c r="P60" s="9"/>
      <c r="Q60" s="9"/>
      <c r="R60" s="9"/>
      <c r="S60" s="9"/>
      <c r="T60" s="9"/>
      <c r="U60" s="9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/>
      <c r="AJ60" s="5"/>
      <c r="AK60" s="5"/>
      <c r="AL60" s="5"/>
      <c r="AM60" s="5"/>
      <c r="AN60" s="5"/>
      <c r="AO60" s="5"/>
      <c r="AP60" s="5"/>
      <c r="AQ60" s="5"/>
      <c r="AR60" s="5"/>
      <c r="AS60" s="5"/>
      <c r="AT60" s="5"/>
      <c r="AU60" s="5"/>
      <c r="AV60" s="5"/>
      <c r="AW60" s="5"/>
      <c r="AX60" s="5"/>
      <c r="AY60" s="5"/>
      <c r="AZ60" s="5"/>
      <c r="BA60" s="5"/>
    </row>
    <row r="61" spans="1:53" x14ac:dyDescent="0.25">
      <c r="A61" s="5"/>
      <c r="B61" s="5"/>
      <c r="C61" s="5"/>
      <c r="D61" s="5"/>
      <c r="E61" s="5"/>
      <c r="F61" s="5"/>
      <c r="G61" s="5"/>
      <c r="H61" s="4"/>
      <c r="I61" s="19"/>
      <c r="J61" s="8"/>
      <c r="K61" s="17"/>
      <c r="L61" s="9"/>
      <c r="M61" s="9"/>
      <c r="N61" s="9"/>
      <c r="O61" s="9"/>
      <c r="P61" s="9"/>
      <c r="Q61" s="9"/>
      <c r="R61" s="9"/>
      <c r="S61" s="9"/>
      <c r="T61" s="9"/>
      <c r="U61" s="9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5"/>
      <c r="AS61" s="5"/>
      <c r="AT61" s="5"/>
      <c r="AU61" s="5"/>
      <c r="AV61" s="5"/>
      <c r="AW61" s="5"/>
      <c r="AX61" s="5"/>
      <c r="AY61" s="5"/>
      <c r="AZ61" s="5"/>
      <c r="BA61" s="5"/>
    </row>
    <row r="62" spans="1:53" x14ac:dyDescent="0.25">
      <c r="A62" s="5"/>
      <c r="B62" s="5"/>
      <c r="C62" s="5"/>
      <c r="D62" s="5"/>
      <c r="E62" s="5"/>
      <c r="F62" s="5"/>
      <c r="G62" s="5"/>
      <c r="H62" s="4"/>
      <c r="I62" s="19"/>
      <c r="J62" s="8"/>
      <c r="K62" s="17"/>
      <c r="L62" s="9"/>
      <c r="M62" s="9"/>
      <c r="N62" s="9"/>
      <c r="O62" s="9"/>
      <c r="P62" s="9"/>
      <c r="Q62" s="9"/>
      <c r="R62" s="9"/>
      <c r="S62" s="9"/>
      <c r="T62" s="9"/>
      <c r="U62" s="9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5"/>
      <c r="AS62" s="5"/>
      <c r="AT62" s="5"/>
      <c r="AU62" s="5"/>
      <c r="AV62" s="5"/>
      <c r="AW62" s="5"/>
      <c r="AX62" s="5"/>
      <c r="AY62" s="5"/>
      <c r="AZ62" s="5"/>
      <c r="BA62" s="5"/>
    </row>
    <row r="63" spans="1:53" x14ac:dyDescent="0.25">
      <c r="A63" s="5"/>
      <c r="B63" s="5"/>
      <c r="C63" s="5"/>
      <c r="D63" s="5"/>
      <c r="E63" s="5"/>
      <c r="F63" s="5"/>
      <c r="G63" s="5"/>
      <c r="H63" s="4"/>
      <c r="I63" s="19"/>
      <c r="J63" s="8"/>
      <c r="K63" s="17"/>
      <c r="L63" s="9"/>
      <c r="M63" s="9"/>
      <c r="N63" s="9"/>
      <c r="O63" s="9"/>
      <c r="P63" s="9"/>
      <c r="Q63" s="9"/>
      <c r="R63" s="9"/>
      <c r="S63" s="9"/>
      <c r="T63" s="9"/>
      <c r="U63" s="9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5"/>
      <c r="AS63" s="5"/>
      <c r="AT63" s="5"/>
      <c r="AU63" s="5"/>
      <c r="AV63" s="5"/>
      <c r="AW63" s="5"/>
      <c r="AX63" s="5"/>
      <c r="AY63" s="5"/>
      <c r="AZ63" s="5"/>
      <c r="BA63" s="5"/>
    </row>
    <row r="64" spans="1:53" x14ac:dyDescent="0.25">
      <c r="A64" s="5"/>
      <c r="B64" s="5"/>
      <c r="C64" s="5"/>
      <c r="D64" s="5"/>
      <c r="E64" s="5"/>
      <c r="F64" s="5"/>
      <c r="G64" s="5"/>
      <c r="H64" s="4"/>
      <c r="I64" s="19"/>
      <c r="J64" s="8"/>
      <c r="K64" s="17"/>
      <c r="L64" s="9"/>
      <c r="M64" s="9"/>
      <c r="N64" s="9"/>
      <c r="O64" s="9"/>
      <c r="P64" s="9"/>
      <c r="Q64" s="9"/>
      <c r="R64" s="9"/>
      <c r="S64" s="9"/>
      <c r="T64" s="9"/>
      <c r="U64" s="9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</row>
    <row r="65" spans="1:53" x14ac:dyDescent="0.25">
      <c r="A65" s="5"/>
      <c r="B65" s="5"/>
      <c r="C65" s="5"/>
      <c r="D65" s="5"/>
      <c r="E65" s="5"/>
      <c r="F65" s="5"/>
      <c r="G65" s="5"/>
      <c r="H65" s="4"/>
      <c r="I65" s="19"/>
      <c r="J65" s="8"/>
      <c r="K65" s="17"/>
      <c r="L65" s="9"/>
      <c r="M65" s="9"/>
      <c r="N65" s="9"/>
      <c r="O65" s="9"/>
      <c r="P65" s="9"/>
      <c r="Q65" s="9"/>
      <c r="R65" s="9"/>
      <c r="S65" s="9"/>
      <c r="T65" s="9"/>
      <c r="U65" s="9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</row>
    <row r="66" spans="1:53" x14ac:dyDescent="0.25">
      <c r="A66" s="5"/>
      <c r="B66" s="5"/>
      <c r="C66" s="5"/>
      <c r="D66" s="5"/>
      <c r="E66" s="5"/>
      <c r="F66" s="5"/>
      <c r="G66" s="5"/>
      <c r="H66" s="4"/>
      <c r="I66" s="19"/>
      <c r="J66" s="8"/>
      <c r="K66" s="17"/>
      <c r="L66" s="9"/>
      <c r="M66" s="9"/>
      <c r="N66" s="9"/>
      <c r="O66" s="9"/>
      <c r="P66" s="9"/>
      <c r="Q66" s="9"/>
      <c r="R66" s="9"/>
      <c r="S66" s="9"/>
      <c r="T66" s="9"/>
      <c r="U66" s="9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</row>
    <row r="67" spans="1:53" x14ac:dyDescent="0.25">
      <c r="A67" s="5"/>
      <c r="B67" s="5"/>
      <c r="C67" s="5"/>
      <c r="D67" s="5"/>
      <c r="E67" s="5"/>
      <c r="F67" s="5"/>
      <c r="G67" s="5"/>
      <c r="H67" s="4"/>
      <c r="I67" s="19"/>
      <c r="J67" s="8"/>
      <c r="K67" s="17"/>
      <c r="L67" s="9"/>
      <c r="M67" s="9"/>
      <c r="N67" s="9"/>
      <c r="O67" s="9"/>
      <c r="P67" s="9"/>
      <c r="Q67" s="9"/>
      <c r="R67" s="9"/>
      <c r="S67" s="9"/>
      <c r="T67" s="9"/>
      <c r="U67" s="9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</row>
    <row r="68" spans="1:53" x14ac:dyDescent="0.25">
      <c r="A68" s="5"/>
      <c r="B68" s="5"/>
      <c r="C68" s="5"/>
      <c r="D68" s="5"/>
      <c r="E68" s="5"/>
      <c r="F68" s="5"/>
      <c r="G68" s="5"/>
      <c r="H68" s="4"/>
      <c r="I68" s="19"/>
      <c r="J68" s="8"/>
      <c r="K68" s="17"/>
      <c r="L68" s="9"/>
      <c r="M68" s="9"/>
      <c r="N68" s="9"/>
      <c r="O68" s="9"/>
      <c r="P68" s="9"/>
      <c r="Q68" s="9"/>
      <c r="R68" s="9"/>
      <c r="S68" s="9"/>
      <c r="T68" s="9"/>
      <c r="U68" s="9"/>
      <c r="V68" s="5"/>
      <c r="W68" s="5"/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/>
      <c r="AJ68" s="5"/>
      <c r="AK68" s="5"/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</row>
    <row r="69" spans="1:53" x14ac:dyDescent="0.25">
      <c r="A69" s="5"/>
      <c r="B69" s="5"/>
      <c r="C69" s="5"/>
      <c r="D69" s="5"/>
      <c r="E69" s="5"/>
      <c r="F69" s="5"/>
      <c r="G69" s="5"/>
      <c r="H69" s="4"/>
      <c r="I69" s="19"/>
      <c r="J69" s="8"/>
      <c r="K69" s="17"/>
      <c r="L69" s="9"/>
      <c r="M69" s="9"/>
      <c r="N69" s="9"/>
      <c r="O69" s="9"/>
      <c r="P69" s="9"/>
      <c r="Q69" s="9"/>
      <c r="R69" s="9"/>
      <c r="S69" s="9"/>
      <c r="T69" s="9"/>
      <c r="U69" s="9"/>
      <c r="V69" s="5"/>
      <c r="W69" s="5"/>
      <c r="X69" s="5"/>
      <c r="Y69" s="5"/>
      <c r="Z69" s="5"/>
      <c r="AA69" s="5"/>
      <c r="AB69" s="5"/>
      <c r="AC69" s="5"/>
      <c r="AD69" s="5"/>
      <c r="AE69" s="5"/>
      <c r="AF69" s="5"/>
      <c r="AG69" s="5"/>
      <c r="AH69" s="5"/>
      <c r="AI69" s="5"/>
      <c r="AJ69" s="5"/>
      <c r="AK69" s="5"/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</row>
    <row r="70" spans="1:53" x14ac:dyDescent="0.25">
      <c r="A70" s="5"/>
      <c r="B70" s="5"/>
      <c r="C70" s="5"/>
      <c r="D70" s="5"/>
      <c r="E70" s="5"/>
      <c r="F70" s="5"/>
      <c r="G70" s="5"/>
      <c r="H70" s="4"/>
      <c r="I70" s="19"/>
      <c r="J70" s="8"/>
      <c r="K70" s="17"/>
      <c r="L70" s="9"/>
      <c r="M70" s="9"/>
      <c r="N70" s="9"/>
      <c r="O70" s="9"/>
      <c r="P70" s="9"/>
      <c r="Q70" s="9"/>
      <c r="R70" s="9"/>
      <c r="S70" s="9"/>
      <c r="T70" s="9"/>
      <c r="U70" s="9"/>
      <c r="V70" s="5"/>
      <c r="W70" s="5"/>
      <c r="X70" s="5"/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/>
      <c r="AJ70" s="5"/>
      <c r="AK70" s="5"/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</row>
    <row r="71" spans="1:53" x14ac:dyDescent="0.25">
      <c r="A71" s="5"/>
      <c r="B71" s="5"/>
      <c r="C71" s="5"/>
      <c r="D71" s="5"/>
      <c r="E71" s="5"/>
      <c r="F71" s="5"/>
      <c r="G71" s="5"/>
      <c r="H71" s="4"/>
      <c r="I71" s="19"/>
      <c r="J71" s="8"/>
      <c r="K71" s="17"/>
      <c r="L71" s="9"/>
      <c r="M71" s="9"/>
      <c r="N71" s="9"/>
      <c r="O71" s="9"/>
      <c r="P71" s="9"/>
      <c r="Q71" s="9"/>
      <c r="R71" s="9"/>
      <c r="S71" s="9"/>
      <c r="T71" s="9"/>
      <c r="U71" s="9"/>
      <c r="V71" s="5"/>
      <c r="W71" s="5"/>
      <c r="X71" s="5"/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/>
      <c r="AJ71" s="5"/>
      <c r="AK71" s="5"/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</row>
    <row r="72" spans="1:53" x14ac:dyDescent="0.25">
      <c r="A72" s="5"/>
      <c r="B72" s="5"/>
      <c r="C72" s="5"/>
      <c r="D72" s="5"/>
      <c r="E72" s="5"/>
      <c r="F72" s="5"/>
      <c r="G72" s="5"/>
      <c r="H72" s="4"/>
      <c r="I72" s="19"/>
      <c r="J72" s="8"/>
      <c r="K72" s="17"/>
      <c r="L72" s="9"/>
      <c r="M72" s="9"/>
      <c r="N72" s="9"/>
      <c r="O72" s="9"/>
      <c r="P72" s="9"/>
      <c r="Q72" s="9"/>
      <c r="R72" s="9"/>
      <c r="S72" s="9"/>
      <c r="T72" s="9"/>
      <c r="U72" s="9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5"/>
      <c r="BA72" s="5"/>
    </row>
    <row r="73" spans="1:53" x14ac:dyDescent="0.25">
      <c r="A73" s="5"/>
      <c r="B73" s="5"/>
      <c r="C73" s="5"/>
      <c r="D73" s="5"/>
      <c r="E73" s="5"/>
      <c r="F73" s="5"/>
      <c r="G73" s="5"/>
      <c r="H73" s="4"/>
      <c r="I73" s="19"/>
      <c r="J73" s="8"/>
      <c r="K73" s="17"/>
      <c r="L73" s="9"/>
      <c r="M73" s="9"/>
      <c r="N73" s="9"/>
      <c r="O73" s="9"/>
      <c r="P73" s="9"/>
      <c r="Q73" s="9"/>
      <c r="R73" s="9"/>
      <c r="S73" s="9"/>
      <c r="T73" s="9"/>
      <c r="U73" s="9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5"/>
      <c r="AQ73" s="5"/>
      <c r="AR73" s="5"/>
      <c r="AS73" s="5"/>
      <c r="AT73" s="5"/>
      <c r="AU73" s="5"/>
      <c r="AV73" s="5"/>
      <c r="AW73" s="5"/>
      <c r="AX73" s="5"/>
      <c r="AY73" s="5"/>
      <c r="AZ73" s="5"/>
      <c r="BA73" s="5"/>
    </row>
    <row r="74" spans="1:53" x14ac:dyDescent="0.25">
      <c r="A74" s="5"/>
      <c r="B74" s="5"/>
      <c r="C74" s="5"/>
      <c r="D74" s="5"/>
      <c r="E74" s="5"/>
      <c r="F74" s="5"/>
      <c r="G74" s="5"/>
      <c r="H74" s="4"/>
      <c r="I74" s="19"/>
      <c r="J74" s="8"/>
      <c r="K74" s="17"/>
      <c r="L74" s="9"/>
      <c r="M74" s="9"/>
      <c r="N74" s="9"/>
      <c r="O74" s="9"/>
      <c r="P74" s="9"/>
      <c r="Q74" s="9"/>
      <c r="R74" s="9"/>
      <c r="S74" s="9"/>
      <c r="T74" s="9"/>
      <c r="U74" s="9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5"/>
      <c r="AQ74" s="5"/>
      <c r="AR74" s="5"/>
      <c r="AS74" s="5"/>
      <c r="AT74" s="5"/>
      <c r="AU74" s="5"/>
      <c r="AV74" s="5"/>
      <c r="AW74" s="5"/>
      <c r="AX74" s="5"/>
      <c r="AY74" s="5"/>
      <c r="AZ74" s="5"/>
      <c r="BA74" s="5"/>
    </row>
    <row r="75" spans="1:53" x14ac:dyDescent="0.25">
      <c r="A75" s="5"/>
      <c r="B75" s="5"/>
      <c r="C75" s="5"/>
      <c r="D75" s="5"/>
      <c r="E75" s="5"/>
      <c r="F75" s="5"/>
      <c r="G75" s="5"/>
      <c r="H75" s="4"/>
      <c r="I75" s="19"/>
      <c r="J75" s="8"/>
      <c r="K75" s="17"/>
      <c r="L75" s="9"/>
      <c r="M75" s="9"/>
      <c r="N75" s="9"/>
      <c r="O75" s="9"/>
      <c r="P75" s="9"/>
      <c r="Q75" s="9"/>
      <c r="R75" s="9"/>
      <c r="S75" s="9"/>
      <c r="T75" s="9"/>
      <c r="U75" s="9"/>
      <c r="V75" s="5"/>
      <c r="W75" s="5"/>
      <c r="X75" s="5"/>
      <c r="Y75" s="5"/>
      <c r="Z75" s="5"/>
      <c r="AA75" s="5"/>
      <c r="AB75" s="5"/>
      <c r="AC75" s="5"/>
      <c r="AD75" s="5"/>
      <c r="AE75" s="5"/>
      <c r="AF75" s="5"/>
      <c r="AG75" s="5"/>
      <c r="AH75" s="5"/>
      <c r="AI75" s="5"/>
      <c r="AJ75" s="5"/>
      <c r="AK75" s="5"/>
      <c r="AL75" s="5"/>
      <c r="AM75" s="5"/>
      <c r="AN75" s="5"/>
      <c r="AO75" s="5"/>
      <c r="AP75" s="5"/>
      <c r="AQ75" s="5"/>
      <c r="AR75" s="5"/>
      <c r="AS75" s="5"/>
      <c r="AT75" s="5"/>
      <c r="AU75" s="5"/>
      <c r="AV75" s="5"/>
      <c r="AW75" s="5"/>
      <c r="AX75" s="5"/>
      <c r="AY75" s="5"/>
      <c r="AZ75" s="5"/>
      <c r="BA75" s="5"/>
    </row>
    <row r="76" spans="1:53" x14ac:dyDescent="0.25">
      <c r="A76" s="5"/>
      <c r="B76" s="5"/>
      <c r="C76" s="5"/>
      <c r="D76" s="5"/>
      <c r="E76" s="5"/>
      <c r="F76" s="5"/>
      <c r="G76" s="5"/>
      <c r="H76" s="4"/>
      <c r="I76" s="19"/>
      <c r="J76" s="8"/>
      <c r="K76" s="17"/>
      <c r="L76" s="9"/>
      <c r="M76" s="9"/>
      <c r="N76" s="9"/>
      <c r="O76" s="9"/>
      <c r="P76" s="9"/>
      <c r="Q76" s="9"/>
      <c r="R76" s="9"/>
      <c r="S76" s="9"/>
      <c r="T76" s="9"/>
      <c r="U76" s="9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5"/>
      <c r="AL76" s="5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5"/>
      <c r="BA76" s="5"/>
    </row>
    <row r="77" spans="1:53" x14ac:dyDescent="0.25">
      <c r="A77" s="5"/>
      <c r="B77" s="5"/>
      <c r="C77" s="5"/>
      <c r="D77" s="5"/>
      <c r="E77" s="5"/>
      <c r="F77" s="5"/>
      <c r="G77" s="5"/>
      <c r="H77" s="4"/>
      <c r="I77" s="19"/>
      <c r="J77" s="8"/>
      <c r="K77" s="17"/>
      <c r="L77" s="9"/>
      <c r="M77" s="9"/>
      <c r="N77" s="9"/>
      <c r="O77" s="9"/>
      <c r="P77" s="9"/>
      <c r="Q77" s="9"/>
      <c r="R77" s="9"/>
      <c r="S77" s="9"/>
      <c r="T77" s="9"/>
      <c r="U77" s="9"/>
      <c r="V77" s="5"/>
      <c r="W77" s="5"/>
      <c r="X77" s="5"/>
      <c r="Y77" s="5"/>
      <c r="Z77" s="5"/>
      <c r="AA77" s="5"/>
      <c r="AB77" s="5"/>
      <c r="AC77" s="5"/>
      <c r="AD77" s="5"/>
      <c r="AE77" s="5"/>
      <c r="AF77" s="5"/>
      <c r="AG77" s="5"/>
      <c r="AH77" s="5"/>
      <c r="AI77" s="5"/>
      <c r="AJ77" s="5"/>
      <c r="AK77" s="5"/>
      <c r="AL77" s="5"/>
      <c r="AM77" s="5"/>
      <c r="AN77" s="5"/>
      <c r="AO77" s="5"/>
      <c r="AP77" s="5"/>
      <c r="AQ77" s="5"/>
      <c r="AR77" s="5"/>
      <c r="AS77" s="5"/>
      <c r="AT77" s="5"/>
      <c r="AU77" s="5"/>
      <c r="AV77" s="5"/>
      <c r="AW77" s="5"/>
      <c r="AX77" s="5"/>
      <c r="AY77" s="5"/>
      <c r="AZ77" s="5"/>
      <c r="BA77" s="5"/>
    </row>
    <row r="78" spans="1:53" x14ac:dyDescent="0.25">
      <c r="A78" s="5"/>
      <c r="B78" s="5"/>
      <c r="C78" s="5"/>
      <c r="D78" s="5"/>
      <c r="E78" s="5"/>
      <c r="F78" s="5"/>
      <c r="G78" s="5"/>
      <c r="H78" s="4"/>
      <c r="I78" s="19"/>
      <c r="J78" s="8"/>
      <c r="K78" s="17"/>
      <c r="L78" s="9"/>
      <c r="M78" s="9"/>
      <c r="N78" s="9"/>
      <c r="O78" s="9"/>
      <c r="P78" s="9"/>
      <c r="Q78" s="9"/>
      <c r="R78" s="9"/>
      <c r="S78" s="9"/>
      <c r="T78" s="9"/>
      <c r="U78" s="9"/>
      <c r="V78" s="5"/>
      <c r="W78" s="5"/>
      <c r="X78" s="5"/>
      <c r="Y78" s="5"/>
      <c r="Z78" s="5"/>
      <c r="AA78" s="5"/>
      <c r="AB78" s="5"/>
      <c r="AC78" s="5"/>
      <c r="AD78" s="5"/>
      <c r="AE78" s="5"/>
      <c r="AF78" s="5"/>
      <c r="AG78" s="5"/>
      <c r="AH78" s="5"/>
      <c r="AI78" s="5"/>
      <c r="AJ78" s="5"/>
      <c r="AK78" s="5"/>
      <c r="AL78" s="5"/>
      <c r="AM78" s="5"/>
      <c r="AN78" s="5"/>
      <c r="AO78" s="5"/>
      <c r="AP78" s="5"/>
      <c r="AQ78" s="5"/>
      <c r="AR78" s="5"/>
      <c r="AS78" s="5"/>
      <c r="AT78" s="5"/>
      <c r="AU78" s="5"/>
      <c r="AV78" s="5"/>
      <c r="AW78" s="5"/>
      <c r="AX78" s="5"/>
      <c r="AY78" s="5"/>
      <c r="AZ78" s="5"/>
      <c r="BA78" s="5"/>
    </row>
    <row r="79" spans="1:53" x14ac:dyDescent="0.25">
      <c r="A79" s="5"/>
      <c r="B79" s="5"/>
      <c r="C79" s="5"/>
      <c r="D79" s="5"/>
      <c r="E79" s="5"/>
      <c r="F79" s="5"/>
      <c r="G79" s="5"/>
      <c r="H79" s="4"/>
      <c r="I79" s="19"/>
      <c r="J79" s="8"/>
      <c r="K79" s="17"/>
      <c r="L79" s="9"/>
      <c r="M79" s="9"/>
      <c r="N79" s="9"/>
      <c r="O79" s="9"/>
      <c r="P79" s="9"/>
      <c r="Q79" s="9"/>
      <c r="R79" s="9"/>
      <c r="S79" s="9"/>
      <c r="T79" s="9"/>
      <c r="U79" s="9"/>
      <c r="V79" s="5"/>
      <c r="W79" s="5"/>
      <c r="X79" s="5"/>
      <c r="Y79" s="5"/>
      <c r="Z79" s="5"/>
      <c r="AA79" s="5"/>
      <c r="AB79" s="5"/>
      <c r="AC79" s="5"/>
      <c r="AD79" s="5"/>
      <c r="AE79" s="5"/>
      <c r="AF79" s="5"/>
      <c r="AG79" s="5"/>
      <c r="AH79" s="5"/>
      <c r="AI79" s="5"/>
      <c r="AJ79" s="5"/>
      <c r="AK79" s="5"/>
      <c r="AL79" s="5"/>
      <c r="AM79" s="5"/>
      <c r="AN79" s="5"/>
      <c r="AO79" s="5"/>
      <c r="AP79" s="5"/>
      <c r="AQ79" s="5"/>
      <c r="AR79" s="5"/>
      <c r="AS79" s="5"/>
      <c r="AT79" s="5"/>
      <c r="AU79" s="5"/>
      <c r="AV79" s="5"/>
      <c r="AW79" s="5"/>
      <c r="AX79" s="5"/>
      <c r="AY79" s="5"/>
      <c r="AZ79" s="5"/>
      <c r="BA79" s="5"/>
    </row>
    <row r="80" spans="1:53" x14ac:dyDescent="0.25">
      <c r="A80" s="5"/>
      <c r="B80" s="5"/>
      <c r="C80" s="5"/>
      <c r="D80" s="5"/>
      <c r="E80" s="5"/>
      <c r="F80" s="5"/>
      <c r="G80" s="5"/>
      <c r="H80" s="4"/>
      <c r="I80" s="19"/>
      <c r="J80" s="8"/>
      <c r="K80" s="17"/>
      <c r="L80" s="9"/>
      <c r="M80" s="9"/>
      <c r="N80" s="9"/>
      <c r="O80" s="9"/>
      <c r="P80" s="9"/>
      <c r="Q80" s="9"/>
      <c r="R80" s="9"/>
      <c r="S80" s="9"/>
      <c r="T80" s="9"/>
      <c r="U80" s="9"/>
      <c r="V80" s="5"/>
      <c r="W80" s="5"/>
      <c r="X80" s="5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5"/>
      <c r="AO80" s="5"/>
      <c r="AP80" s="5"/>
      <c r="AQ80" s="5"/>
      <c r="AR80" s="5"/>
      <c r="AS80" s="5"/>
      <c r="AT80" s="5"/>
      <c r="AU80" s="5"/>
      <c r="AV80" s="5"/>
      <c r="AW80" s="5"/>
      <c r="AX80" s="5"/>
      <c r="AY80" s="5"/>
      <c r="AZ80" s="5"/>
      <c r="BA80" s="5"/>
    </row>
    <row r="81" spans="1:53" x14ac:dyDescent="0.25">
      <c r="A81" s="5"/>
      <c r="B81" s="5"/>
      <c r="C81" s="5"/>
      <c r="D81" s="5"/>
      <c r="E81" s="5"/>
      <c r="F81" s="5"/>
      <c r="G81" s="5"/>
      <c r="H81" s="4"/>
      <c r="I81" s="19"/>
      <c r="J81" s="8"/>
      <c r="K81" s="17"/>
      <c r="L81" s="9"/>
      <c r="M81" s="9"/>
      <c r="N81" s="9"/>
      <c r="O81" s="9"/>
      <c r="P81" s="9"/>
      <c r="Q81" s="9"/>
      <c r="R81" s="9"/>
      <c r="S81" s="9"/>
      <c r="T81" s="9"/>
      <c r="U81" s="9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5"/>
      <c r="AZ81" s="5"/>
      <c r="BA81" s="5"/>
    </row>
    <row r="82" spans="1:53" x14ac:dyDescent="0.25">
      <c r="A82" s="5"/>
      <c r="B82" s="5"/>
      <c r="C82" s="5"/>
      <c r="D82" s="5"/>
      <c r="E82" s="5"/>
      <c r="F82" s="5"/>
      <c r="G82" s="5"/>
      <c r="H82" s="4"/>
      <c r="I82" s="19"/>
      <c r="J82" s="8"/>
      <c r="K82" s="17"/>
      <c r="L82" s="9"/>
      <c r="M82" s="9"/>
      <c r="N82" s="9"/>
      <c r="O82" s="9"/>
      <c r="P82" s="9"/>
      <c r="Q82" s="9"/>
      <c r="R82" s="9"/>
      <c r="S82" s="9"/>
      <c r="T82" s="9"/>
      <c r="U82" s="9"/>
      <c r="V82" s="5"/>
      <c r="W82" s="5"/>
      <c r="X82" s="5"/>
      <c r="Y82" s="5"/>
      <c r="Z82" s="5"/>
      <c r="AA82" s="5"/>
      <c r="AB82" s="5"/>
      <c r="AC82" s="5"/>
      <c r="AD82" s="5"/>
      <c r="AE82" s="5"/>
      <c r="AF82" s="5"/>
      <c r="AG82" s="5"/>
      <c r="AH82" s="5"/>
      <c r="AI82" s="5"/>
      <c r="AJ82" s="5"/>
      <c r="AK82" s="5"/>
      <c r="AL82" s="5"/>
      <c r="AM82" s="5"/>
      <c r="AN82" s="5"/>
      <c r="AO82" s="5"/>
      <c r="AP82" s="5"/>
      <c r="AQ82" s="5"/>
      <c r="AR82" s="5"/>
      <c r="AS82" s="5"/>
      <c r="AT82" s="5"/>
      <c r="AU82" s="5"/>
      <c r="AV82" s="5"/>
      <c r="AW82" s="5"/>
      <c r="AX82" s="5"/>
      <c r="AY82" s="5"/>
      <c r="AZ82" s="5"/>
      <c r="BA82" s="5"/>
    </row>
    <row r="83" spans="1:53" x14ac:dyDescent="0.25">
      <c r="A83" s="5"/>
      <c r="B83" s="5"/>
      <c r="C83" s="5"/>
      <c r="D83" s="5"/>
      <c r="E83" s="5"/>
      <c r="F83" s="5"/>
      <c r="G83" s="5"/>
      <c r="H83" s="4"/>
      <c r="I83" s="19"/>
      <c r="J83" s="8"/>
      <c r="K83" s="17"/>
      <c r="L83" s="9"/>
      <c r="M83" s="9"/>
      <c r="N83" s="9"/>
      <c r="O83" s="9"/>
      <c r="P83" s="9"/>
      <c r="Q83" s="9"/>
      <c r="R83" s="9"/>
      <c r="S83" s="9"/>
      <c r="T83" s="9"/>
      <c r="U83" s="9"/>
      <c r="V83" s="5"/>
      <c r="W83" s="5"/>
      <c r="X83" s="5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5"/>
      <c r="AO83" s="5"/>
      <c r="AP83" s="5"/>
      <c r="AQ83" s="5"/>
      <c r="AR83" s="5"/>
      <c r="AS83" s="5"/>
      <c r="AT83" s="5"/>
      <c r="AU83" s="5"/>
      <c r="AV83" s="5"/>
      <c r="AW83" s="5"/>
      <c r="AX83" s="5"/>
      <c r="AY83" s="5"/>
      <c r="AZ83" s="5"/>
      <c r="BA83" s="5"/>
    </row>
    <row r="84" spans="1:53" x14ac:dyDescent="0.25">
      <c r="A84" s="5"/>
      <c r="B84" s="5"/>
      <c r="C84" s="5"/>
      <c r="D84" s="5"/>
      <c r="E84" s="5"/>
      <c r="F84" s="5"/>
      <c r="G84" s="5"/>
      <c r="H84" s="4"/>
      <c r="I84" s="19"/>
      <c r="J84" s="8"/>
      <c r="K84" s="17"/>
      <c r="L84" s="9"/>
      <c r="M84" s="9"/>
      <c r="N84" s="9"/>
      <c r="O84" s="9"/>
      <c r="P84" s="9"/>
      <c r="Q84" s="9"/>
      <c r="R84" s="9"/>
      <c r="S84" s="9"/>
      <c r="T84" s="9"/>
      <c r="U84" s="9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5"/>
      <c r="AO84" s="5"/>
      <c r="AP84" s="5"/>
      <c r="AQ84" s="5"/>
      <c r="AR84" s="5"/>
      <c r="AS84" s="5"/>
      <c r="AT84" s="5"/>
      <c r="AU84" s="5"/>
      <c r="AV84" s="5"/>
      <c r="AW84" s="5"/>
      <c r="AX84" s="5"/>
      <c r="AY84" s="5"/>
      <c r="AZ84" s="5"/>
      <c r="BA84" s="5"/>
    </row>
    <row r="85" spans="1:53" x14ac:dyDescent="0.25">
      <c r="A85" s="5"/>
      <c r="B85" s="5"/>
      <c r="C85" s="5"/>
      <c r="D85" s="5"/>
      <c r="E85" s="5"/>
      <c r="F85" s="5"/>
      <c r="G85" s="5"/>
      <c r="H85" s="4"/>
      <c r="I85" s="19"/>
      <c r="J85" s="8"/>
      <c r="K85" s="17"/>
      <c r="L85" s="9"/>
      <c r="M85" s="9"/>
      <c r="N85" s="9"/>
      <c r="O85" s="9"/>
      <c r="P85" s="9"/>
      <c r="Q85" s="9"/>
      <c r="R85" s="9"/>
      <c r="S85" s="9"/>
      <c r="T85" s="9"/>
      <c r="U85" s="9"/>
      <c r="V85" s="5"/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5"/>
      <c r="AO85" s="5"/>
      <c r="AP85" s="5"/>
      <c r="AQ85" s="5"/>
      <c r="AR85" s="5"/>
      <c r="AS85" s="5"/>
      <c r="AT85" s="5"/>
      <c r="AU85" s="5"/>
      <c r="AV85" s="5"/>
      <c r="AW85" s="5"/>
      <c r="AX85" s="5"/>
      <c r="AY85" s="5"/>
      <c r="AZ85" s="5"/>
      <c r="BA85" s="5"/>
    </row>
    <row r="86" spans="1:53" x14ac:dyDescent="0.25">
      <c r="A86" s="5"/>
      <c r="B86" s="5"/>
      <c r="C86" s="5"/>
      <c r="D86" s="5"/>
      <c r="E86" s="5"/>
      <c r="F86" s="5"/>
      <c r="G86" s="5"/>
      <c r="H86" s="4"/>
      <c r="I86" s="19"/>
      <c r="J86" s="8"/>
      <c r="K86" s="17"/>
      <c r="L86" s="9"/>
      <c r="M86" s="9"/>
      <c r="N86" s="9"/>
      <c r="O86" s="9"/>
      <c r="P86" s="9"/>
      <c r="Q86" s="9"/>
      <c r="R86" s="9"/>
      <c r="S86" s="9"/>
      <c r="T86" s="9"/>
      <c r="U86" s="9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</row>
    <row r="87" spans="1:53" x14ac:dyDescent="0.25">
      <c r="A87" s="5"/>
      <c r="B87" s="5"/>
      <c r="C87" s="5"/>
      <c r="D87" s="5"/>
      <c r="E87" s="5"/>
      <c r="F87" s="5"/>
      <c r="G87" s="5"/>
      <c r="H87" s="4"/>
      <c r="I87" s="19"/>
      <c r="J87" s="8"/>
      <c r="K87" s="17"/>
      <c r="L87" s="9"/>
      <c r="M87" s="9"/>
      <c r="N87" s="9"/>
      <c r="O87" s="9"/>
      <c r="P87" s="9"/>
      <c r="Q87" s="9"/>
      <c r="R87" s="9"/>
      <c r="S87" s="9"/>
      <c r="T87" s="9"/>
      <c r="U87" s="9"/>
      <c r="V87" s="5"/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</row>
    <row r="88" spans="1:53" x14ac:dyDescent="0.25">
      <c r="A88" s="5"/>
      <c r="B88" s="5"/>
      <c r="C88" s="5"/>
      <c r="D88" s="5"/>
      <c r="E88" s="5"/>
      <c r="F88" s="5"/>
      <c r="G88" s="5"/>
      <c r="H88" s="4"/>
      <c r="I88" s="19"/>
      <c r="J88" s="8"/>
      <c r="K88" s="17"/>
      <c r="L88" s="9"/>
      <c r="M88" s="9"/>
      <c r="N88" s="9"/>
      <c r="O88" s="9"/>
      <c r="P88" s="9"/>
      <c r="Q88" s="9"/>
      <c r="R88" s="9"/>
      <c r="S88" s="9"/>
      <c r="T88" s="9"/>
      <c r="U88" s="9"/>
      <c r="V88" s="5"/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</row>
    <row r="89" spans="1:53" x14ac:dyDescent="0.25">
      <c r="A89" s="5"/>
      <c r="B89" s="5"/>
      <c r="C89" s="5"/>
      <c r="D89" s="5"/>
      <c r="E89" s="5"/>
      <c r="F89" s="5"/>
      <c r="G89" s="5"/>
      <c r="H89" s="4"/>
      <c r="I89" s="19"/>
      <c r="J89" s="8"/>
      <c r="K89" s="17"/>
      <c r="L89" s="9"/>
      <c r="M89" s="9"/>
      <c r="N89" s="9"/>
      <c r="O89" s="9"/>
      <c r="P89" s="9"/>
      <c r="Q89" s="9"/>
      <c r="R89" s="9"/>
      <c r="S89" s="9"/>
      <c r="T89" s="9"/>
      <c r="U89" s="9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</row>
    <row r="90" spans="1:53" x14ac:dyDescent="0.25">
      <c r="A90" s="5"/>
      <c r="B90" s="5"/>
      <c r="C90" s="5"/>
      <c r="D90" s="5"/>
      <c r="E90" s="5"/>
      <c r="F90" s="5"/>
      <c r="G90" s="5"/>
      <c r="H90" s="4"/>
      <c r="I90" s="19"/>
      <c r="J90" s="8"/>
      <c r="K90" s="17"/>
      <c r="L90" s="9"/>
      <c r="M90" s="9"/>
      <c r="N90" s="9"/>
      <c r="O90" s="9"/>
      <c r="P90" s="9"/>
      <c r="Q90" s="9"/>
      <c r="R90" s="9"/>
      <c r="S90" s="9"/>
      <c r="T90" s="9"/>
      <c r="U90" s="9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</row>
    <row r="91" spans="1:53" x14ac:dyDescent="0.25">
      <c r="A91" s="5"/>
      <c r="B91" s="5"/>
      <c r="C91" s="5"/>
      <c r="D91" s="5"/>
      <c r="E91" s="5"/>
      <c r="F91" s="5"/>
      <c r="G91" s="5"/>
      <c r="H91" s="4"/>
      <c r="I91" s="19"/>
      <c r="J91" s="8"/>
      <c r="K91" s="17"/>
      <c r="L91" s="9"/>
      <c r="M91" s="9"/>
      <c r="N91" s="9"/>
      <c r="O91" s="9"/>
      <c r="P91" s="9"/>
      <c r="Q91" s="9"/>
      <c r="R91" s="9"/>
      <c r="S91" s="9"/>
      <c r="T91" s="9"/>
      <c r="U91" s="9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</row>
  </sheetData>
  <mergeCells count="1">
    <mergeCell ref="F4:G4"/>
  </mergeCells>
  <conditionalFormatting sqref="I7:I17">
    <cfRule type="containsText" dxfId="27" priority="238" operator="containsText" text="INVALID MARK">
      <formula>NOT(ISERROR(SEARCH("INVALID MARK",I7)))</formula>
    </cfRule>
    <cfRule type="containsText" dxfId="26" priority="239" operator="containsText" text="INVALID ENTRY">
      <formula>NOT(ISERROR(SEARCH("INVALID ENTRY",I7)))</formula>
    </cfRule>
    <cfRule type="containsText" dxfId="25" priority="240" operator="containsText" text="MISSING MARK">
      <formula>NOT(ISERROR(SEARCH("MISSING MARK",I7)))</formula>
    </cfRule>
  </conditionalFormatting>
  <conditionalFormatting sqref="D7">
    <cfRule type="containsText" dxfId="24" priority="236" operator="containsText" text="FAIL">
      <formula>NOT(ISERROR(SEARCH("FAIL",D7)))</formula>
    </cfRule>
    <cfRule type="containsText" dxfId="23" priority="237" operator="containsText" text="PASS">
      <formula>NOT(ISERROR(SEARCH("PASS",D7)))</formula>
    </cfRule>
  </conditionalFormatting>
  <conditionalFormatting sqref="D8:D10">
    <cfRule type="containsText" dxfId="22" priority="231" operator="containsText" text="FAIL">
      <formula>NOT(ISERROR(SEARCH("FAIL",D8)))</formula>
    </cfRule>
    <cfRule type="containsText" dxfId="21" priority="232" operator="containsText" text="PASS">
      <formula>NOT(ISERROR(SEARCH("PASS",D8)))</formula>
    </cfRule>
  </conditionalFormatting>
  <conditionalFormatting sqref="D11:D15">
    <cfRule type="containsText" dxfId="20" priority="226" operator="containsText" text="FAIL">
      <formula>NOT(ISERROR(SEARCH("FAIL",D11)))</formula>
    </cfRule>
    <cfRule type="containsText" dxfId="19" priority="227" operator="containsText" text="PASS">
      <formula>NOT(ISERROR(SEARCH("PASS",D11)))</formula>
    </cfRule>
  </conditionalFormatting>
  <conditionalFormatting sqref="D16">
    <cfRule type="containsText" dxfId="18" priority="221" operator="containsText" text="FAIL">
      <formula>NOT(ISERROR(SEARCH("FAIL",D16)))</formula>
    </cfRule>
    <cfRule type="containsText" dxfId="17" priority="222" operator="containsText" text="PASS">
      <formula>NOT(ISERROR(SEARCH("PASS",D16)))</formula>
    </cfRule>
  </conditionalFormatting>
  <conditionalFormatting sqref="D17">
    <cfRule type="containsText" dxfId="16" priority="201" operator="containsText" text="FAIL">
      <formula>NOT(ISERROR(SEARCH("FAIL",D17)))</formula>
    </cfRule>
    <cfRule type="containsText" dxfId="15" priority="202" operator="containsText" text="PASS">
      <formula>NOT(ISERROR(SEARCH("PASS",D17)))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C1:DQ17"/>
  <sheetViews>
    <sheetView workbookViewId="0">
      <selection activeCell="I7" sqref="I7:I17"/>
    </sheetView>
  </sheetViews>
  <sheetFormatPr defaultRowHeight="15" x14ac:dyDescent="0.25"/>
  <cols>
    <col min="1" max="2" width="9.140625" style="5"/>
    <col min="3" max="3" width="11" style="5" bestFit="1" customWidth="1"/>
    <col min="4" max="4" width="6.85546875" style="5" bestFit="1" customWidth="1"/>
    <col min="5" max="5" width="16.42578125" style="5" bestFit="1" customWidth="1"/>
    <col min="6" max="6" width="18.85546875" style="5" bestFit="1" customWidth="1"/>
    <col min="7" max="8" width="15.85546875" style="5" bestFit="1" customWidth="1"/>
    <col min="9" max="9" width="14.42578125" style="4" bestFit="1" customWidth="1"/>
    <col min="10" max="10" width="11" style="19" bestFit="1" customWidth="1"/>
    <col min="11" max="11" width="29.140625" style="8" bestFit="1" customWidth="1"/>
    <col min="12" max="12" width="18.85546875" style="17" customWidth="1"/>
    <col min="13" max="14" width="18.85546875" style="9" customWidth="1"/>
    <col min="15" max="21" width="18.85546875" customWidth="1"/>
    <col min="22" max="22" width="16.42578125" style="5" bestFit="1" customWidth="1"/>
    <col min="23" max="23" width="13.85546875" style="5" bestFit="1" customWidth="1"/>
    <col min="24" max="25" width="15.85546875" style="5" bestFit="1" customWidth="1"/>
    <col min="26" max="26" width="10.28515625" style="5" bestFit="1" customWidth="1"/>
    <col min="27" max="28" width="9.42578125" style="5" bestFit="1" customWidth="1"/>
    <col min="29" max="35" width="9" style="5" bestFit="1" customWidth="1"/>
    <col min="36" max="36" width="10" style="5" bestFit="1" customWidth="1"/>
    <col min="37" max="37" width="11" style="5" bestFit="1" customWidth="1"/>
    <col min="38" max="16384" width="9.140625" style="5"/>
  </cols>
  <sheetData>
    <row r="1" spans="3:121" x14ac:dyDescent="0.25">
      <c r="O1" s="9"/>
      <c r="P1" s="9"/>
      <c r="Q1" s="9"/>
      <c r="R1" s="9"/>
      <c r="S1" s="9"/>
      <c r="T1" s="9"/>
      <c r="U1" s="9"/>
    </row>
    <row r="2" spans="3:121" x14ac:dyDescent="0.25">
      <c r="O2" s="9"/>
      <c r="P2" s="9"/>
      <c r="Q2" s="9"/>
      <c r="R2" s="9"/>
      <c r="S2" s="9"/>
      <c r="T2" s="9"/>
      <c r="U2" s="9"/>
    </row>
    <row r="3" spans="3:121" ht="15.75" thickBot="1" x14ac:dyDescent="0.3">
      <c r="C3" s="7" t="s">
        <v>6</v>
      </c>
      <c r="D3" s="3" t="str">
        <f ca="1">MID(CELL("filename",A1),FIND("]",CELL("filename",A1))+1,255)</f>
        <v>Exam</v>
      </c>
      <c r="F3" s="7" t="s">
        <v>43</v>
      </c>
      <c r="G3" s="4">
        <f>'Final Marks'!D12</f>
        <v>0.5</v>
      </c>
      <c r="H3" s="4"/>
      <c r="I3" s="19"/>
      <c r="J3" s="8"/>
      <c r="K3" s="17"/>
      <c r="L3" s="9"/>
      <c r="O3" s="9"/>
      <c r="P3" s="9"/>
      <c r="Q3" s="9"/>
      <c r="R3" s="9"/>
      <c r="S3" s="9"/>
      <c r="T3" s="9"/>
      <c r="U3" s="9"/>
    </row>
    <row r="4" spans="3:121" ht="123.75" customHeight="1" thickBot="1" x14ac:dyDescent="0.3">
      <c r="C4" s="21"/>
      <c r="F4" s="125"/>
      <c r="G4" s="125"/>
      <c r="H4" s="4"/>
      <c r="I4" s="19"/>
      <c r="J4" s="8"/>
      <c r="K4" s="95" t="s">
        <v>72</v>
      </c>
      <c r="L4" s="92" t="s">
        <v>73</v>
      </c>
      <c r="M4" s="92"/>
      <c r="N4" s="92"/>
      <c r="O4" s="93"/>
      <c r="P4" s="93"/>
      <c r="Q4" s="93"/>
      <c r="R4" s="93"/>
      <c r="S4" s="93"/>
      <c r="T4" s="93"/>
      <c r="U4" s="94"/>
      <c r="Y4" s="4"/>
      <c r="Z4" s="17"/>
      <c r="AA4" s="9"/>
      <c r="AB4" s="9"/>
      <c r="AC4" s="9"/>
      <c r="AD4" s="9"/>
      <c r="AE4" s="9"/>
      <c r="AF4" s="9"/>
      <c r="AG4" s="9"/>
      <c r="AH4" s="9"/>
      <c r="AI4" s="9"/>
      <c r="AJ4" s="9"/>
      <c r="AK4" s="8"/>
      <c r="AO4" s="7"/>
      <c r="AP4" s="3"/>
      <c r="AT4" s="4"/>
      <c r="AU4" s="17"/>
      <c r="AV4" s="9"/>
      <c r="AW4" s="9"/>
      <c r="AX4" s="9"/>
      <c r="AY4" s="9"/>
      <c r="AZ4" s="9"/>
      <c r="BA4" s="9"/>
      <c r="BB4" s="9"/>
      <c r="BC4" s="9"/>
      <c r="BD4" s="9"/>
      <c r="BE4" s="9"/>
      <c r="BF4" s="8"/>
      <c r="BJ4" s="7"/>
      <c r="BK4" s="3"/>
      <c r="BO4" s="4"/>
      <c r="BP4" s="17"/>
      <c r="BQ4" s="9"/>
      <c r="BR4" s="9"/>
      <c r="BS4" s="9"/>
      <c r="BT4" s="9"/>
      <c r="BU4" s="9"/>
      <c r="BV4" s="9"/>
      <c r="BW4" s="9"/>
      <c r="BX4" s="9"/>
      <c r="BY4" s="9"/>
      <c r="BZ4" s="9"/>
      <c r="CA4" s="8"/>
      <c r="CE4" s="7"/>
      <c r="CF4" s="3"/>
      <c r="CJ4" s="4"/>
      <c r="CK4" s="17"/>
      <c r="CL4" s="9"/>
      <c r="CM4" s="9"/>
      <c r="CN4" s="9"/>
      <c r="CO4" s="9"/>
      <c r="CP4" s="9"/>
      <c r="CQ4" s="9"/>
      <c r="CR4" s="9"/>
      <c r="CS4" s="9"/>
      <c r="CT4" s="9"/>
      <c r="CU4" s="9"/>
      <c r="CV4" s="8"/>
      <c r="CZ4" s="7"/>
      <c r="DA4" s="3"/>
      <c r="DE4" s="4"/>
      <c r="DF4" s="17"/>
      <c r="DG4" s="9"/>
      <c r="DH4" s="9"/>
      <c r="DI4" s="9"/>
      <c r="DJ4" s="9"/>
      <c r="DK4" s="9"/>
      <c r="DL4" s="9"/>
      <c r="DM4" s="9"/>
      <c r="DN4" s="9"/>
      <c r="DO4" s="9"/>
      <c r="DP4" s="9"/>
      <c r="DQ4" s="8"/>
    </row>
    <row r="5" spans="3:121" s="7" customFormat="1" ht="15.75" thickBot="1" x14ac:dyDescent="0.3">
      <c r="D5" s="1"/>
      <c r="E5" s="63" t="str">
        <f>'Final Marks'!$D$25</f>
        <v>Student Surname</v>
      </c>
      <c r="F5" s="64" t="str">
        <f>'Final Marks'!$E$25</f>
        <v>Student Name</v>
      </c>
      <c r="G5" s="64" t="str">
        <f>'Final Marks'!$F$25</f>
        <v>Student Number</v>
      </c>
      <c r="H5" s="82" t="s">
        <v>8</v>
      </c>
      <c r="I5" s="83" t="s">
        <v>0</v>
      </c>
      <c r="J5" s="84" t="s">
        <v>7</v>
      </c>
      <c r="K5" s="83" t="s">
        <v>10</v>
      </c>
      <c r="L5" s="87" t="s">
        <v>55</v>
      </c>
      <c r="M5" s="87" t="s">
        <v>56</v>
      </c>
      <c r="N5" s="87" t="s">
        <v>57</v>
      </c>
      <c r="O5" s="87" t="s">
        <v>58</v>
      </c>
      <c r="P5" s="87" t="s">
        <v>59</v>
      </c>
      <c r="Q5" s="87" t="s">
        <v>60</v>
      </c>
      <c r="R5" s="87" t="s">
        <v>61</v>
      </c>
      <c r="S5" s="87" t="s">
        <v>62</v>
      </c>
      <c r="T5" s="87" t="s">
        <v>63</v>
      </c>
      <c r="U5" s="87" t="s">
        <v>64</v>
      </c>
      <c r="Y5" s="6"/>
      <c r="Z5" s="12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0"/>
      <c r="AT5" s="6"/>
      <c r="AU5" s="12"/>
      <c r="AV5" s="11"/>
      <c r="AW5" s="11"/>
      <c r="AX5" s="11"/>
      <c r="AY5" s="11"/>
      <c r="AZ5" s="11"/>
      <c r="BA5" s="11"/>
      <c r="BB5" s="11"/>
      <c r="BC5" s="11"/>
      <c r="BD5" s="11"/>
      <c r="BE5" s="11"/>
      <c r="BF5" s="10"/>
      <c r="BO5" s="6"/>
      <c r="BP5" s="12"/>
      <c r="BQ5" s="11"/>
      <c r="BR5" s="11"/>
      <c r="BS5" s="11"/>
      <c r="BT5" s="11"/>
      <c r="BU5" s="11"/>
      <c r="BV5" s="11"/>
      <c r="BW5" s="11"/>
      <c r="BX5" s="11"/>
      <c r="BY5" s="11"/>
      <c r="BZ5" s="11"/>
      <c r="CA5" s="10"/>
      <c r="CJ5" s="6"/>
      <c r="CK5" s="12"/>
      <c r="CL5" s="11"/>
      <c r="CM5" s="11"/>
      <c r="CN5" s="11"/>
      <c r="CO5" s="11"/>
      <c r="CP5" s="11"/>
      <c r="CQ5" s="11"/>
      <c r="CR5" s="11"/>
      <c r="CS5" s="11"/>
      <c r="CT5" s="11"/>
      <c r="CU5" s="11"/>
      <c r="CV5" s="10"/>
      <c r="DE5" s="6"/>
      <c r="DF5" s="12"/>
      <c r="DG5" s="11"/>
      <c r="DH5" s="11"/>
      <c r="DI5" s="11"/>
      <c r="DJ5" s="11"/>
      <c r="DK5" s="11"/>
      <c r="DL5" s="11"/>
      <c r="DM5" s="11"/>
      <c r="DN5" s="11"/>
      <c r="DO5" s="11"/>
      <c r="DP5" s="11"/>
      <c r="DQ5" s="10"/>
    </row>
    <row r="6" spans="3:121" s="14" customFormat="1" ht="15.75" thickBot="1" x14ac:dyDescent="0.3">
      <c r="D6" s="76" t="s">
        <v>5</v>
      </c>
      <c r="E6" s="77"/>
      <c r="F6" s="77"/>
      <c r="G6" s="77"/>
      <c r="H6" s="78">
        <v>1</v>
      </c>
      <c r="I6" s="77">
        <f>K6</f>
        <v>100</v>
      </c>
      <c r="J6" s="79"/>
      <c r="K6" s="80">
        <f t="shared" ref="K6" si="0">SUM(L6:O6)</f>
        <v>100</v>
      </c>
      <c r="L6" s="81">
        <v>100</v>
      </c>
      <c r="M6" s="81"/>
      <c r="N6" s="81"/>
      <c r="O6" s="81"/>
      <c r="P6" s="81"/>
      <c r="Q6" s="81"/>
      <c r="R6" s="81"/>
      <c r="S6" s="81"/>
      <c r="T6" s="81"/>
      <c r="U6" s="81"/>
      <c r="V6" s="34"/>
      <c r="Y6" s="16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P6" s="13"/>
      <c r="AT6" s="16"/>
      <c r="AU6" s="15"/>
      <c r="AV6" s="15"/>
      <c r="AW6" s="15"/>
      <c r="AX6" s="15"/>
      <c r="AY6" s="15"/>
      <c r="AZ6" s="15"/>
      <c r="BA6" s="15"/>
      <c r="BB6" s="15"/>
      <c r="BC6" s="15"/>
      <c r="BD6" s="15"/>
      <c r="BE6" s="15"/>
      <c r="BF6" s="15"/>
      <c r="BK6" s="13"/>
      <c r="BO6" s="16"/>
      <c r="BP6" s="15"/>
      <c r="BQ6" s="15"/>
      <c r="BR6" s="15"/>
      <c r="BS6" s="15"/>
      <c r="BT6" s="15"/>
      <c r="BU6" s="15"/>
      <c r="BV6" s="15"/>
      <c r="BW6" s="15"/>
      <c r="BX6" s="15"/>
      <c r="BY6" s="15"/>
      <c r="BZ6" s="15"/>
      <c r="CA6" s="15"/>
      <c r="CF6" s="13"/>
      <c r="CJ6" s="16"/>
      <c r="CK6" s="15"/>
      <c r="CL6" s="15"/>
      <c r="CM6" s="15"/>
      <c r="CN6" s="15"/>
      <c r="CO6" s="15"/>
      <c r="CP6" s="15"/>
      <c r="CQ6" s="15"/>
      <c r="CR6" s="15"/>
      <c r="CS6" s="15"/>
      <c r="CT6" s="15"/>
      <c r="CU6" s="15"/>
      <c r="CV6" s="15"/>
      <c r="DA6" s="13"/>
      <c r="DE6" s="16"/>
      <c r="DF6" s="15"/>
      <c r="DG6" s="15"/>
      <c r="DH6" s="15"/>
      <c r="DI6" s="15"/>
      <c r="DJ6" s="15"/>
      <c r="DK6" s="15"/>
      <c r="DL6" s="15"/>
      <c r="DM6" s="15"/>
      <c r="DN6" s="15"/>
      <c r="DO6" s="15"/>
      <c r="DP6" s="15"/>
      <c r="DQ6" s="15"/>
    </row>
    <row r="7" spans="3:121" x14ac:dyDescent="0.25">
      <c r="D7" s="2" t="str">
        <f>IF(H7&gt;G$3, "PASS", "FAIL")</f>
        <v>PASS</v>
      </c>
      <c r="E7" s="2" t="str">
        <f>'Final Marks'!D28</f>
        <v>Example</v>
      </c>
      <c r="F7" s="2" t="str">
        <f>'Final Marks'!E28</f>
        <v>Student</v>
      </c>
      <c r="G7" s="2" t="str">
        <f>'Final Marks'!F28</f>
        <v>01234</v>
      </c>
      <c r="H7" s="23">
        <f t="shared" ref="H7:H11" si="1">IF(K7/K$6-J7&gt;=0, K7/K$6-J7, 0)</f>
        <v>0.72499999999999998</v>
      </c>
      <c r="I7" s="20">
        <f>IF(ISOVERMAX(L7:U7)=1,"INVALID MARK",IF(ISOVERMAX(L7:U7)=2,"INVALID ENTRY",IF(COUNT(L7:U7)&lt;COUNT(L$6:U$6),"MISSING MARK",(H7-J7)*K$6)))</f>
        <v>72.5</v>
      </c>
      <c r="J7" s="28">
        <v>0</v>
      </c>
      <c r="K7" s="24">
        <f>SUM(L7:U7)</f>
        <v>72.5</v>
      </c>
      <c r="L7" s="9">
        <v>72.5</v>
      </c>
      <c r="O7" s="9"/>
      <c r="P7" s="9"/>
      <c r="Q7" s="9"/>
      <c r="R7" s="9"/>
      <c r="S7" s="9"/>
      <c r="T7" s="9"/>
      <c r="U7" s="9"/>
      <c r="Y7" s="18"/>
      <c r="Z7" s="17"/>
      <c r="AA7" s="9"/>
      <c r="AB7" s="9"/>
      <c r="AC7" s="9"/>
      <c r="AD7" s="9"/>
      <c r="AE7" s="9"/>
      <c r="AF7" s="9"/>
      <c r="AG7" s="9"/>
      <c r="AH7" s="9"/>
      <c r="AI7" s="9"/>
      <c r="AJ7" s="9"/>
      <c r="AK7" s="8"/>
      <c r="AT7" s="18"/>
      <c r="AU7" s="17"/>
      <c r="AV7" s="9"/>
      <c r="AW7" s="9"/>
      <c r="AX7" s="9"/>
      <c r="AY7" s="9"/>
      <c r="AZ7" s="9"/>
      <c r="BA7" s="9"/>
      <c r="BB7" s="9"/>
      <c r="BC7" s="9"/>
      <c r="BD7" s="9"/>
      <c r="BE7" s="9"/>
      <c r="BF7" s="8"/>
      <c r="BO7" s="18"/>
      <c r="BP7" s="17"/>
      <c r="BQ7" s="9"/>
      <c r="BR7" s="9"/>
      <c r="BS7" s="9"/>
      <c r="BT7" s="9"/>
      <c r="BU7" s="9"/>
      <c r="BV7" s="9"/>
      <c r="BW7" s="9"/>
      <c r="BX7" s="9"/>
      <c r="BY7" s="9"/>
      <c r="BZ7" s="9"/>
      <c r="CA7" s="8"/>
      <c r="CJ7" s="18"/>
      <c r="CK7" s="17"/>
      <c r="CL7" s="9"/>
      <c r="CM7" s="9"/>
      <c r="CN7" s="9"/>
      <c r="CO7" s="9"/>
      <c r="CP7" s="9"/>
      <c r="CQ7" s="9"/>
      <c r="CR7" s="9"/>
      <c r="CS7" s="9"/>
      <c r="CT7" s="9"/>
      <c r="CU7" s="9"/>
      <c r="CV7" s="8"/>
      <c r="DE7" s="18"/>
      <c r="DF7" s="17"/>
      <c r="DG7" s="9"/>
      <c r="DH7" s="9"/>
      <c r="DI7" s="9"/>
      <c r="DJ7" s="9"/>
      <c r="DK7" s="9"/>
      <c r="DL7" s="9"/>
      <c r="DM7" s="9"/>
      <c r="DN7" s="9"/>
      <c r="DO7" s="9"/>
      <c r="DP7" s="9"/>
      <c r="DQ7" s="8"/>
    </row>
    <row r="8" spans="3:121" x14ac:dyDescent="0.25">
      <c r="D8" s="2" t="str">
        <f t="shared" ref="D8:D10" si="2">IF(H8&gt;G$3, "PASS", "FAIL")</f>
        <v>PASS</v>
      </c>
      <c r="E8" s="2" t="str">
        <f>'Final Marks'!D29</f>
        <v>Diligent</v>
      </c>
      <c r="F8" s="2" t="str">
        <f>'Final Marks'!E29</f>
        <v>Student</v>
      </c>
      <c r="G8" s="2" t="str">
        <f>'Final Marks'!F29</f>
        <v>54321</v>
      </c>
      <c r="H8" s="23">
        <f t="shared" si="1"/>
        <v>0.87</v>
      </c>
      <c r="I8" s="20">
        <f>IF(ISOVERMAX(L8:U8)=1,"INVALID MARK",IF(ISOVERMAX(L8:U8)=2,"INVALID ENTRY",IF(COUNT(L8:U8)&lt;COUNT(L$6:U$6),"MISSING MARK",(H8-J8)*K$6)))</f>
        <v>87</v>
      </c>
      <c r="J8" s="28">
        <v>0</v>
      </c>
      <c r="K8" s="24">
        <f t="shared" ref="K8:K17" si="3">SUM(L8:U8)</f>
        <v>87</v>
      </c>
      <c r="L8" s="9">
        <v>87</v>
      </c>
      <c r="O8" s="9"/>
      <c r="P8" s="9"/>
      <c r="Q8" s="9"/>
      <c r="R8" s="9"/>
      <c r="S8" s="9"/>
      <c r="T8" s="9"/>
      <c r="U8" s="9"/>
      <c r="Y8" s="18"/>
      <c r="Z8" s="17"/>
      <c r="AA8" s="9"/>
      <c r="AB8" s="9"/>
      <c r="AC8" s="9"/>
      <c r="AD8" s="9"/>
      <c r="AE8" s="9"/>
      <c r="AF8" s="9"/>
      <c r="AG8" s="9"/>
      <c r="AH8" s="9"/>
      <c r="AI8" s="9"/>
      <c r="AJ8" s="9"/>
      <c r="AK8" s="8"/>
      <c r="AT8" s="18"/>
      <c r="AU8" s="17"/>
      <c r="AV8" s="9"/>
      <c r="AW8" s="9"/>
      <c r="AX8" s="9"/>
      <c r="AY8" s="9"/>
      <c r="AZ8" s="9"/>
      <c r="BA8" s="9"/>
      <c r="BB8" s="9"/>
      <c r="BC8" s="9"/>
      <c r="BD8" s="9"/>
      <c r="BE8" s="9"/>
      <c r="BF8" s="8"/>
      <c r="BO8" s="18"/>
      <c r="BP8" s="17"/>
      <c r="BQ8" s="9"/>
      <c r="BR8" s="9"/>
      <c r="BS8" s="9"/>
      <c r="BT8" s="9"/>
      <c r="BU8" s="9"/>
      <c r="BV8" s="9"/>
      <c r="BW8" s="9"/>
      <c r="BX8" s="9"/>
      <c r="BY8" s="9"/>
      <c r="BZ8" s="9"/>
      <c r="CA8" s="8"/>
      <c r="CJ8" s="18"/>
      <c r="CK8" s="17"/>
      <c r="CL8" s="9"/>
      <c r="CM8" s="9"/>
      <c r="CN8" s="9"/>
      <c r="CO8" s="9"/>
      <c r="CP8" s="9"/>
      <c r="CQ8" s="9"/>
      <c r="CR8" s="9"/>
      <c r="CS8" s="9"/>
      <c r="CT8" s="9"/>
      <c r="CU8" s="9"/>
      <c r="CV8" s="8"/>
      <c r="DE8" s="18"/>
      <c r="DF8" s="17"/>
      <c r="DG8" s="9"/>
      <c r="DH8" s="9"/>
      <c r="DI8" s="9"/>
      <c r="DJ8" s="9"/>
      <c r="DK8" s="9"/>
      <c r="DL8" s="9"/>
      <c r="DM8" s="9"/>
      <c r="DN8" s="9"/>
      <c r="DO8" s="9"/>
      <c r="DP8" s="9"/>
      <c r="DQ8" s="8"/>
    </row>
    <row r="9" spans="3:121" x14ac:dyDescent="0.25">
      <c r="D9" s="2" t="str">
        <f t="shared" si="2"/>
        <v>FAIL</v>
      </c>
      <c r="E9" s="2" t="str">
        <f>'Final Marks'!D30</f>
        <v>Failing</v>
      </c>
      <c r="F9" s="2" t="str">
        <f>'Final Marks'!E30</f>
        <v>I Am</v>
      </c>
      <c r="G9" s="2" t="str">
        <f>'Final Marks'!F30</f>
        <v>13450</v>
      </c>
      <c r="H9" s="23">
        <f t="shared" si="1"/>
        <v>0.45</v>
      </c>
      <c r="I9" s="20">
        <f>IF(ISOVERMAX(L9:U9)=1,"INVALID MARK",IF(ISOVERMAX(L9:U9)=2,"INVALID ENTRY",IF(COUNT(L9:U9)&lt;COUNT(L$6:U$6),"MISSING MARK",(H9-J9)*K$6)))</f>
        <v>45</v>
      </c>
      <c r="J9" s="28">
        <v>0</v>
      </c>
      <c r="K9" s="24">
        <f t="shared" si="3"/>
        <v>45</v>
      </c>
      <c r="L9" s="9">
        <v>45</v>
      </c>
      <c r="O9" s="9"/>
      <c r="P9" s="9"/>
      <c r="Q9" s="9"/>
      <c r="R9" s="9"/>
      <c r="S9" s="9"/>
      <c r="T9" s="9"/>
      <c r="U9" s="9"/>
      <c r="Y9" s="18"/>
      <c r="Z9" s="17"/>
      <c r="AA9" s="9"/>
      <c r="AB9" s="9"/>
      <c r="AC9" s="9"/>
      <c r="AD9" s="9"/>
      <c r="AE9" s="9"/>
      <c r="AF9" s="9"/>
      <c r="AG9" s="9"/>
      <c r="AH9" s="9"/>
      <c r="AI9" s="9"/>
      <c r="AJ9" s="9"/>
      <c r="AK9" s="8"/>
      <c r="AT9" s="18"/>
      <c r="AU9" s="17"/>
      <c r="AV9" s="9"/>
      <c r="AW9" s="9"/>
      <c r="AX9" s="9"/>
      <c r="AY9" s="9"/>
      <c r="AZ9" s="9"/>
      <c r="BA9" s="9"/>
      <c r="BB9" s="9"/>
      <c r="BC9" s="9"/>
      <c r="BD9" s="9"/>
      <c r="BE9" s="9"/>
      <c r="BF9" s="8"/>
      <c r="BO9" s="18"/>
      <c r="BP9" s="17"/>
      <c r="BQ9" s="9"/>
      <c r="BR9" s="9"/>
      <c r="BS9" s="9"/>
      <c r="BT9" s="9"/>
      <c r="BU9" s="9"/>
      <c r="BV9" s="9"/>
      <c r="BW9" s="9"/>
      <c r="BX9" s="9"/>
      <c r="BY9" s="9"/>
      <c r="BZ9" s="9"/>
      <c r="CA9" s="8"/>
      <c r="CJ9" s="18"/>
      <c r="CK9" s="17"/>
      <c r="CL9" s="9"/>
      <c r="CM9" s="9"/>
      <c r="CN9" s="9"/>
      <c r="CO9" s="9"/>
      <c r="CP9" s="9"/>
      <c r="CQ9" s="9"/>
      <c r="CR9" s="9"/>
      <c r="CS9" s="9"/>
      <c r="CT9" s="9"/>
      <c r="CU9" s="9"/>
      <c r="CV9" s="8"/>
      <c r="DE9" s="18"/>
      <c r="DF9" s="17"/>
      <c r="DG9" s="9"/>
      <c r="DH9" s="9"/>
      <c r="DI9" s="9"/>
      <c r="DJ9" s="9"/>
      <c r="DK9" s="9"/>
      <c r="DL9" s="9"/>
      <c r="DM9" s="9"/>
      <c r="DN9" s="9"/>
      <c r="DO9" s="9"/>
      <c r="DP9" s="9"/>
      <c r="DQ9" s="8"/>
    </row>
    <row r="10" spans="3:121" x14ac:dyDescent="0.25">
      <c r="D10" s="2" t="str">
        <f t="shared" si="2"/>
        <v>PASS</v>
      </c>
      <c r="E10" s="2" t="str">
        <f>'Final Marks'!D31</f>
        <v>Just</v>
      </c>
      <c r="F10" s="2" t="str">
        <f>'Final Marks'!E31</f>
        <v>Passing</v>
      </c>
      <c r="G10" s="2" t="str">
        <f>'Final Marks'!F31</f>
        <v>05020</v>
      </c>
      <c r="H10" s="23">
        <f t="shared" si="1"/>
        <v>0.53</v>
      </c>
      <c r="I10" s="20">
        <f>IF(ISOVERMAX(L10:U10)=1,"INVALID MARK",IF(ISOVERMAX(L10:U10)=2,"INVALID ENTRY",IF(COUNT(L10:U10)&lt;COUNT(L$6:U$6),"MISSING MARK",(H10-J10)*K$6)))</f>
        <v>53</v>
      </c>
      <c r="J10" s="28">
        <v>0</v>
      </c>
      <c r="K10" s="24">
        <f t="shared" si="3"/>
        <v>53</v>
      </c>
      <c r="L10" s="9">
        <v>53</v>
      </c>
      <c r="O10" s="9"/>
      <c r="P10" s="9"/>
      <c r="Q10" s="9"/>
      <c r="R10" s="9"/>
      <c r="S10" s="9"/>
      <c r="T10" s="9"/>
      <c r="U10" s="9"/>
      <c r="Y10" s="18"/>
      <c r="Z10" s="17"/>
      <c r="AA10" s="9"/>
      <c r="AB10" s="9"/>
      <c r="AC10" s="9"/>
      <c r="AD10" s="9"/>
      <c r="AE10" s="9"/>
      <c r="AF10" s="9"/>
      <c r="AG10" s="9"/>
      <c r="AH10" s="9"/>
      <c r="AI10" s="9"/>
      <c r="AJ10" s="9"/>
      <c r="AK10" s="8"/>
      <c r="AT10" s="18"/>
      <c r="AU10" s="17"/>
      <c r="AV10" s="9"/>
      <c r="AW10" s="9"/>
      <c r="AX10" s="9"/>
      <c r="AY10" s="9"/>
      <c r="AZ10" s="9"/>
      <c r="BA10" s="9"/>
      <c r="BB10" s="9"/>
      <c r="BC10" s="9"/>
      <c r="BD10" s="9"/>
      <c r="BE10" s="9"/>
      <c r="BF10" s="8"/>
      <c r="BO10" s="18"/>
      <c r="BP10" s="17"/>
      <c r="BQ10" s="9"/>
      <c r="BR10" s="9"/>
      <c r="BS10" s="9"/>
      <c r="BT10" s="9"/>
      <c r="BU10" s="9"/>
      <c r="BV10" s="9"/>
      <c r="BW10" s="9"/>
      <c r="BX10" s="9"/>
      <c r="BY10" s="9"/>
      <c r="BZ10" s="9"/>
      <c r="CA10" s="8"/>
      <c r="CJ10" s="18"/>
      <c r="CK10" s="17"/>
      <c r="CL10" s="9"/>
      <c r="CM10" s="9"/>
      <c r="CN10" s="9"/>
      <c r="CO10" s="9"/>
      <c r="CP10" s="9"/>
      <c r="CQ10" s="9"/>
      <c r="CR10" s="9"/>
      <c r="CS10" s="9"/>
      <c r="CT10" s="9"/>
      <c r="CU10" s="9"/>
      <c r="CV10" s="8"/>
      <c r="DE10" s="18"/>
      <c r="DF10" s="17"/>
      <c r="DG10" s="9"/>
      <c r="DH10" s="9"/>
      <c r="DI10" s="9"/>
      <c r="DJ10" s="9"/>
      <c r="DK10" s="9"/>
      <c r="DL10" s="9"/>
      <c r="DM10" s="9"/>
      <c r="DN10" s="9"/>
      <c r="DO10" s="9"/>
      <c r="DP10" s="9"/>
      <c r="DQ10" s="8"/>
    </row>
    <row r="11" spans="3:121" x14ac:dyDescent="0.25">
      <c r="D11" s="2" t="str">
        <f t="shared" ref="D11:D15" si="4">IF(H11&gt;G$3, "PASS", "FAIL")</f>
        <v>FAIL</v>
      </c>
      <c r="E11" s="2" t="str">
        <f>'Final Marks'!D32</f>
        <v>Supp</v>
      </c>
      <c r="F11" s="2" t="str">
        <f>'Final Marks'!E32</f>
        <v>Getting A</v>
      </c>
      <c r="G11" s="2" t="str">
        <f>'Final Marks'!F32</f>
        <v>60254</v>
      </c>
      <c r="H11" s="23">
        <f t="shared" si="1"/>
        <v>0.41</v>
      </c>
      <c r="I11" s="20">
        <f>IF(ISOVERMAX(L11:U11)=1,"INVALID MARK",IF(ISOVERMAX(L11:U11)=2,"INVALID ENTRY",IF(COUNT(L11:U11)&lt;COUNT(L$6:U$6),"MISSING MARK",(H11-J11)*K$6)))</f>
        <v>41</v>
      </c>
      <c r="J11" s="28">
        <v>0</v>
      </c>
      <c r="K11" s="24">
        <f t="shared" si="3"/>
        <v>41</v>
      </c>
      <c r="L11" s="9">
        <v>41</v>
      </c>
      <c r="O11" s="9"/>
      <c r="P11" s="9"/>
      <c r="Q11" s="9"/>
      <c r="R11" s="9"/>
      <c r="S11" s="9"/>
      <c r="T11" s="9"/>
      <c r="U11" s="9"/>
      <c r="Y11" s="18"/>
      <c r="Z11" s="17"/>
      <c r="AA11" s="9"/>
      <c r="AB11" s="9"/>
      <c r="AC11" s="9"/>
      <c r="AD11" s="9"/>
      <c r="AE11" s="9"/>
      <c r="AF11" s="9"/>
      <c r="AG11" s="9"/>
      <c r="AH11" s="9"/>
      <c r="AI11" s="9"/>
      <c r="AJ11" s="9"/>
      <c r="AK11" s="8"/>
      <c r="AT11" s="18"/>
      <c r="AU11" s="17"/>
      <c r="AV11" s="9"/>
      <c r="AW11" s="9"/>
      <c r="AX11" s="9"/>
      <c r="AY11" s="9"/>
      <c r="AZ11" s="9"/>
      <c r="BA11" s="9"/>
      <c r="BB11" s="9"/>
      <c r="BC11" s="9"/>
      <c r="BD11" s="9"/>
      <c r="BE11" s="9"/>
      <c r="BF11" s="8"/>
      <c r="BO11" s="18"/>
      <c r="BP11" s="17"/>
      <c r="BQ11" s="9"/>
      <c r="BR11" s="9"/>
      <c r="BS11" s="9"/>
      <c r="BT11" s="9"/>
      <c r="BU11" s="9"/>
      <c r="BV11" s="9"/>
      <c r="BW11" s="9"/>
      <c r="BX11" s="9"/>
      <c r="BY11" s="9"/>
      <c r="BZ11" s="9"/>
      <c r="CA11" s="8"/>
      <c r="CJ11" s="18"/>
      <c r="CK11" s="17"/>
      <c r="CL11" s="9"/>
      <c r="CM11" s="9"/>
      <c r="CN11" s="9"/>
      <c r="CO11" s="9"/>
      <c r="CP11" s="9"/>
      <c r="CQ11" s="9"/>
      <c r="CR11" s="9"/>
      <c r="CS11" s="9"/>
      <c r="CT11" s="9"/>
      <c r="CU11" s="9"/>
      <c r="CV11" s="8"/>
      <c r="DE11" s="18"/>
      <c r="DF11" s="17"/>
      <c r="DG11" s="9"/>
      <c r="DH11" s="9"/>
      <c r="DI11" s="9"/>
      <c r="DJ11" s="9"/>
      <c r="DK11" s="9"/>
      <c r="DL11" s="9"/>
      <c r="DM11" s="9"/>
      <c r="DN11" s="9"/>
      <c r="DO11" s="9"/>
      <c r="DP11" s="9"/>
      <c r="DQ11" s="8"/>
    </row>
    <row r="12" spans="3:121" x14ac:dyDescent="0.25">
      <c r="D12" s="2" t="str">
        <f t="shared" si="4"/>
        <v>PASS</v>
      </c>
      <c r="E12" s="2" t="str">
        <f>'Final Marks'!D33</f>
        <v>A Supp</v>
      </c>
      <c r="F12" s="2" t="str">
        <f>'Final Marks'!E33</f>
        <v>Also Getting</v>
      </c>
      <c r="G12" s="2" t="str">
        <f>'Final Marks'!F33</f>
        <v>01010</v>
      </c>
      <c r="H12" s="23">
        <f>IF(K12/K$6-J12&gt;=0, K12/K$6-J12, 0)</f>
        <v>0.65</v>
      </c>
      <c r="I12" s="20">
        <f>IF(ISOVERMAX(L12:U12)=1,"INVALID MARK",IF(ISOVERMAX(L12:U12)=2,"INVALID ENTRY",IF(COUNT(L12:U12)&lt;COUNT(L$6:U$6),"MISSING MARK",(H12-J12)*K$6)))</f>
        <v>65</v>
      </c>
      <c r="J12" s="28">
        <v>0</v>
      </c>
      <c r="K12" s="24">
        <f t="shared" si="3"/>
        <v>65</v>
      </c>
      <c r="L12" s="9">
        <v>65</v>
      </c>
      <c r="O12" s="9"/>
      <c r="P12" s="9"/>
      <c r="Q12" s="9"/>
      <c r="R12" s="9"/>
      <c r="S12" s="9"/>
      <c r="T12" s="9"/>
      <c r="U12" s="9"/>
      <c r="Y12" s="18"/>
      <c r="Z12" s="17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8"/>
      <c r="AT12" s="18"/>
      <c r="AU12" s="17"/>
      <c r="AV12" s="9"/>
      <c r="AW12" s="9"/>
      <c r="AX12" s="9"/>
      <c r="AY12" s="9"/>
      <c r="AZ12" s="9"/>
      <c r="BA12" s="9"/>
      <c r="BB12" s="9"/>
      <c r="BC12" s="9"/>
      <c r="BD12" s="9"/>
      <c r="BE12" s="9"/>
      <c r="BF12" s="8"/>
      <c r="BO12" s="18"/>
      <c r="BP12" s="17"/>
      <c r="BQ12" s="9"/>
      <c r="BR12" s="9"/>
      <c r="BS12" s="9"/>
      <c r="BT12" s="9"/>
      <c r="BU12" s="9"/>
      <c r="BV12" s="9"/>
      <c r="BW12" s="9"/>
      <c r="BX12" s="9"/>
      <c r="BY12" s="9"/>
      <c r="BZ12" s="9"/>
      <c r="CA12" s="8"/>
      <c r="CJ12" s="18"/>
      <c r="CK12" s="17"/>
      <c r="CL12" s="9"/>
      <c r="CM12" s="9"/>
      <c r="CN12" s="9"/>
      <c r="CO12" s="9"/>
      <c r="CP12" s="9"/>
      <c r="CQ12" s="9"/>
      <c r="CR12" s="9"/>
      <c r="CS12" s="9"/>
      <c r="CT12" s="9"/>
      <c r="CU12" s="9"/>
      <c r="CV12" s="8"/>
      <c r="DE12" s="18"/>
      <c r="DF12" s="17"/>
      <c r="DG12" s="9"/>
      <c r="DH12" s="9"/>
      <c r="DI12" s="9"/>
      <c r="DJ12" s="9"/>
      <c r="DK12" s="9"/>
      <c r="DL12" s="9"/>
      <c r="DM12" s="9"/>
      <c r="DN12" s="9"/>
      <c r="DO12" s="9"/>
      <c r="DP12" s="9"/>
      <c r="DQ12" s="8"/>
    </row>
    <row r="13" spans="3:121" x14ac:dyDescent="0.25">
      <c r="D13" s="2" t="str">
        <f t="shared" si="4"/>
        <v>PASS</v>
      </c>
      <c r="E13" s="2" t="str">
        <f>'Final Marks'!D34</f>
        <v>Mark</v>
      </c>
      <c r="F13" s="2" t="str">
        <f>'Final Marks'!E34</f>
        <v>Invalid</v>
      </c>
      <c r="G13" s="2" t="str">
        <f>'Final Marks'!F34</f>
        <v>98350</v>
      </c>
      <c r="H13" s="23">
        <f t="shared" ref="H13:H16" si="5">IF(K13/K$6-J13&gt;=0, K13/K$6-J13, 0)</f>
        <v>0.57999999999999996</v>
      </c>
      <c r="I13" s="20">
        <f>IF(ISOVERMAX(L13:U13)=1,"INVALID MARK",IF(ISOVERMAX(L13:U13)=2,"INVALID ENTRY",IF(COUNT(L13:U13)&lt;COUNT(L$6:U$6),"MISSING MARK",(H13-J13)*K$6)))</f>
        <v>57.999999999999993</v>
      </c>
      <c r="J13" s="28">
        <v>0</v>
      </c>
      <c r="K13" s="24">
        <f t="shared" si="3"/>
        <v>58</v>
      </c>
      <c r="L13" s="9">
        <v>58</v>
      </c>
      <c r="O13" s="9"/>
      <c r="P13" s="9"/>
      <c r="Q13" s="9"/>
      <c r="R13" s="9"/>
      <c r="S13" s="9"/>
      <c r="T13" s="9"/>
      <c r="U13" s="9"/>
      <c r="Y13" s="18"/>
      <c r="Z13" s="17"/>
      <c r="AA13" s="9"/>
      <c r="AB13" s="9"/>
      <c r="AC13" s="9"/>
      <c r="AD13" s="9"/>
      <c r="AE13" s="9"/>
      <c r="AF13" s="9"/>
      <c r="AG13" s="9"/>
      <c r="AH13" s="9"/>
      <c r="AI13" s="9"/>
      <c r="AJ13" s="9"/>
      <c r="AK13" s="8"/>
      <c r="AT13" s="18"/>
      <c r="AU13" s="17"/>
      <c r="AV13" s="9"/>
      <c r="AW13" s="9"/>
      <c r="AX13" s="9"/>
      <c r="AY13" s="9"/>
      <c r="AZ13" s="9"/>
      <c r="BA13" s="9"/>
      <c r="BB13" s="9"/>
      <c r="BC13" s="9"/>
      <c r="BD13" s="9"/>
      <c r="BE13" s="9"/>
      <c r="BF13" s="8"/>
      <c r="BO13" s="18"/>
      <c r="BP13" s="17"/>
      <c r="BQ13" s="9"/>
      <c r="BR13" s="9"/>
      <c r="BS13" s="9"/>
      <c r="BT13" s="9"/>
      <c r="BU13" s="9"/>
      <c r="BV13" s="9"/>
      <c r="BW13" s="9"/>
      <c r="BX13" s="9"/>
      <c r="BY13" s="9"/>
      <c r="BZ13" s="9"/>
      <c r="CA13" s="8"/>
      <c r="CJ13" s="18"/>
      <c r="CK13" s="17"/>
      <c r="CL13" s="9"/>
      <c r="CM13" s="9"/>
      <c r="CN13" s="9"/>
      <c r="CO13" s="9"/>
      <c r="CP13" s="9"/>
      <c r="CQ13" s="9"/>
      <c r="CR13" s="9"/>
      <c r="CS13" s="9"/>
      <c r="CT13" s="9"/>
      <c r="CU13" s="9"/>
      <c r="CV13" s="8"/>
      <c r="DE13" s="18"/>
      <c r="DF13" s="17"/>
      <c r="DG13" s="9"/>
      <c r="DH13" s="9"/>
      <c r="DI13" s="9"/>
      <c r="DJ13" s="9"/>
      <c r="DK13" s="9"/>
      <c r="DL13" s="9"/>
      <c r="DM13" s="9"/>
      <c r="DN13" s="9"/>
      <c r="DO13" s="9"/>
      <c r="DP13" s="9"/>
      <c r="DQ13" s="8"/>
    </row>
    <row r="14" spans="3:121" x14ac:dyDescent="0.25">
      <c r="D14" s="2" t="str">
        <f t="shared" si="4"/>
        <v>PASS</v>
      </c>
      <c r="E14" s="2" t="str">
        <f>'Final Marks'!D35</f>
        <v>Mark</v>
      </c>
      <c r="F14" s="2" t="str">
        <f>'Final Marks'!E35</f>
        <v>Another Invalid</v>
      </c>
      <c r="G14" s="2" t="str">
        <f>'Final Marks'!F35</f>
        <v>10425</v>
      </c>
      <c r="H14" s="23">
        <f t="shared" si="5"/>
        <v>0.69</v>
      </c>
      <c r="I14" s="20">
        <f>IF(ISOVERMAX(L14:U14)=1,"INVALID MARK",IF(ISOVERMAX(L14:U14)=2,"INVALID ENTRY",IF(COUNT(L14:U14)&lt;COUNT(L$6:U$6),"MISSING MARK",(H14-J14)*K$6)))</f>
        <v>69</v>
      </c>
      <c r="J14" s="28">
        <v>0</v>
      </c>
      <c r="K14" s="24">
        <f t="shared" si="3"/>
        <v>69</v>
      </c>
      <c r="L14" s="9">
        <v>69</v>
      </c>
      <c r="O14" s="9"/>
      <c r="P14" s="9"/>
      <c r="Q14" s="9"/>
      <c r="R14" s="9"/>
      <c r="S14" s="9"/>
      <c r="T14" s="9"/>
      <c r="U14" s="9"/>
      <c r="Y14" s="18"/>
      <c r="Z14" s="17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8"/>
      <c r="AT14" s="18"/>
      <c r="AU14" s="17"/>
      <c r="AV14" s="9"/>
      <c r="AW14" s="9"/>
      <c r="AX14" s="9"/>
      <c r="AY14" s="9"/>
      <c r="AZ14" s="9"/>
      <c r="BA14" s="9"/>
      <c r="BB14" s="9"/>
      <c r="BC14" s="9"/>
      <c r="BD14" s="9"/>
      <c r="BE14" s="9"/>
      <c r="BF14" s="8"/>
      <c r="BO14" s="18"/>
      <c r="BP14" s="17"/>
      <c r="BQ14" s="9"/>
      <c r="BR14" s="9"/>
      <c r="BS14" s="9"/>
      <c r="BT14" s="9"/>
      <c r="BU14" s="9"/>
      <c r="BV14" s="9"/>
      <c r="BW14" s="9"/>
      <c r="BX14" s="9"/>
      <c r="BY14" s="9"/>
      <c r="BZ14" s="9"/>
      <c r="CA14" s="8"/>
      <c r="CJ14" s="18"/>
      <c r="CK14" s="17"/>
      <c r="CL14" s="9"/>
      <c r="CM14" s="9"/>
      <c r="CN14" s="9"/>
      <c r="CO14" s="9"/>
      <c r="CP14" s="9"/>
      <c r="CQ14" s="9"/>
      <c r="CR14" s="9"/>
      <c r="CS14" s="9"/>
      <c r="CT14" s="9"/>
      <c r="CU14" s="9"/>
      <c r="CV14" s="8"/>
      <c r="DE14" s="18"/>
      <c r="DF14" s="17"/>
      <c r="DG14" s="9"/>
      <c r="DH14" s="9"/>
      <c r="DI14" s="9"/>
      <c r="DJ14" s="9"/>
      <c r="DK14" s="9"/>
      <c r="DL14" s="9"/>
      <c r="DM14" s="9"/>
      <c r="DN14" s="9"/>
      <c r="DO14" s="9"/>
      <c r="DP14" s="9"/>
      <c r="DQ14" s="8"/>
    </row>
    <row r="15" spans="3:121" x14ac:dyDescent="0.25">
      <c r="D15" s="2" t="str">
        <f t="shared" si="4"/>
        <v>PASS</v>
      </c>
      <c r="E15" s="2" t="str">
        <f>'Final Marks'!D36</f>
        <v>Mark</v>
      </c>
      <c r="F15" s="2" t="str">
        <f>'Final Marks'!E36</f>
        <v>Missing</v>
      </c>
      <c r="G15" s="2" t="str">
        <f>'Final Marks'!F36</f>
        <v>54263</v>
      </c>
      <c r="H15" s="23">
        <f t="shared" si="5"/>
        <v>0.80500000000000005</v>
      </c>
      <c r="I15" s="20">
        <f>IF(ISOVERMAX(L15:U15)=1,"INVALID MARK",IF(ISOVERMAX(L15:U15)=2,"INVALID ENTRY",IF(COUNT(L15:U15)&lt;COUNT(L$6:U$6),"MISSING MARK",(H15-J15)*K$6)))</f>
        <v>80.5</v>
      </c>
      <c r="J15" s="28">
        <v>0</v>
      </c>
      <c r="K15" s="24">
        <f t="shared" si="3"/>
        <v>80.5</v>
      </c>
      <c r="L15" s="9">
        <v>80.5</v>
      </c>
      <c r="O15" s="9"/>
      <c r="P15" s="9"/>
      <c r="Q15" s="9"/>
      <c r="R15" s="9"/>
      <c r="S15" s="9"/>
      <c r="T15" s="9"/>
      <c r="U15" s="9"/>
      <c r="Y15" s="18"/>
      <c r="Z15" s="17"/>
      <c r="AA15" s="9"/>
      <c r="AB15" s="9"/>
      <c r="AC15" s="9"/>
      <c r="AD15" s="9"/>
      <c r="AE15" s="9"/>
      <c r="AF15" s="9"/>
      <c r="AG15" s="9"/>
      <c r="AH15" s="9"/>
      <c r="AI15" s="9"/>
      <c r="AJ15" s="9"/>
      <c r="AK15" s="8"/>
      <c r="AT15" s="18"/>
      <c r="AU15" s="17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8"/>
      <c r="BO15" s="18"/>
      <c r="BP15" s="17"/>
      <c r="BQ15" s="9"/>
      <c r="BR15" s="9"/>
      <c r="BS15" s="9"/>
      <c r="BT15" s="9"/>
      <c r="BU15" s="9"/>
      <c r="BV15" s="9"/>
      <c r="BW15" s="9"/>
      <c r="BX15" s="9"/>
      <c r="BY15" s="9"/>
      <c r="BZ15" s="9"/>
      <c r="CA15" s="8"/>
      <c r="CJ15" s="18"/>
      <c r="CK15" s="17"/>
      <c r="CL15" s="9"/>
      <c r="CM15" s="9"/>
      <c r="CN15" s="9"/>
      <c r="CO15" s="9"/>
      <c r="CP15" s="9"/>
      <c r="CQ15" s="9"/>
      <c r="CR15" s="9"/>
      <c r="CS15" s="9"/>
      <c r="CT15" s="9"/>
      <c r="CU15" s="9"/>
      <c r="CV15" s="8"/>
      <c r="DE15" s="18"/>
      <c r="DF15" s="17"/>
      <c r="DG15" s="9"/>
      <c r="DH15" s="9"/>
      <c r="DI15" s="9"/>
      <c r="DJ15" s="9"/>
      <c r="DK15" s="9"/>
      <c r="DL15" s="9"/>
      <c r="DM15" s="9"/>
      <c r="DN15" s="9"/>
      <c r="DO15" s="9"/>
      <c r="DP15" s="9"/>
      <c r="DQ15" s="8"/>
    </row>
    <row r="16" spans="3:121" x14ac:dyDescent="0.25">
      <c r="D16" s="2" t="str">
        <f t="shared" ref="D16" si="6">IF(H16&gt;G$3, "PASS", "FAIL")</f>
        <v>PASS</v>
      </c>
      <c r="E16" s="2" t="str">
        <f>'Final Marks'!D37</f>
        <v>Student Number</v>
      </c>
      <c r="F16" s="2" t="str">
        <f>'Final Marks'!E37</f>
        <v>Missing</v>
      </c>
      <c r="G16" s="2">
        <f>'Final Marks'!F37</f>
        <v>0</v>
      </c>
      <c r="H16" s="23">
        <f t="shared" si="5"/>
        <v>0.77</v>
      </c>
      <c r="I16" s="20">
        <f>IF(ISOVERMAX(L16:U16)=1,"INVALID MARK",IF(ISOVERMAX(L16:U16)=2,"INVALID ENTRY",IF(COUNT(L16:U16)&lt;COUNT(L$6:U$6),"MISSING MARK",(H16-J16)*K$6)))</f>
        <v>77</v>
      </c>
      <c r="J16" s="28">
        <v>0</v>
      </c>
      <c r="K16" s="24">
        <f t="shared" si="3"/>
        <v>77</v>
      </c>
      <c r="L16" s="9">
        <v>77</v>
      </c>
      <c r="O16" s="9"/>
      <c r="P16" s="9"/>
      <c r="Q16" s="9"/>
      <c r="R16" s="9"/>
      <c r="S16" s="9"/>
      <c r="T16" s="9"/>
      <c r="U16" s="9"/>
      <c r="Y16" s="18"/>
      <c r="Z16" s="17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8"/>
      <c r="AT16" s="18"/>
      <c r="AU16" s="17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8"/>
      <c r="BO16" s="18"/>
      <c r="BP16" s="17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8"/>
      <c r="CJ16" s="18"/>
      <c r="CK16" s="17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8"/>
      <c r="DE16" s="18"/>
      <c r="DF16" s="17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8"/>
    </row>
    <row r="17" spans="4:121" x14ac:dyDescent="0.25">
      <c r="D17" s="2" t="str">
        <f t="shared" ref="D17" si="7">IF(H17&gt;G$3, "PASS", "FAIL")</f>
        <v>PASS</v>
      </c>
      <c r="E17" s="2" t="str">
        <f>'Final Marks'!D38</f>
        <v>Marks</v>
      </c>
      <c r="F17" s="2" t="str">
        <f>'Final Marks'!E38</f>
        <v>Invalid &amp; missing</v>
      </c>
      <c r="G17" s="2" t="str">
        <f>'Final Marks'!F38</f>
        <v>96452</v>
      </c>
      <c r="H17" s="23">
        <f t="shared" ref="H17" si="8">IF(K17/K$6-J17&gt;=0, K17/K$6-J17, 0)</f>
        <v>0.69</v>
      </c>
      <c r="I17" s="20">
        <f>IF(ISOVERMAX(L17:U17)=1,"INVALID MARK",IF(ISOVERMAX(L17:U17)=2,"INVALID ENTRY",IF(COUNT(L17:U17)&lt;COUNT(L$6:U$6),"MISSING MARK",(H17-J17)*K$6)))</f>
        <v>69</v>
      </c>
      <c r="J17" s="28">
        <v>0</v>
      </c>
      <c r="K17" s="24">
        <f t="shared" si="3"/>
        <v>69</v>
      </c>
      <c r="L17" s="9">
        <v>69</v>
      </c>
      <c r="O17" s="9"/>
      <c r="P17" s="9"/>
      <c r="Q17" s="9"/>
      <c r="R17" s="9"/>
      <c r="S17" s="9"/>
      <c r="T17" s="9"/>
      <c r="U17" s="9"/>
      <c r="Y17" s="18"/>
      <c r="Z17" s="17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8"/>
      <c r="AT17" s="18"/>
      <c r="AU17" s="17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8"/>
      <c r="BO17" s="18"/>
      <c r="BP17" s="17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8"/>
      <c r="CJ17" s="18"/>
      <c r="CK17" s="17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8"/>
      <c r="DE17" s="18"/>
      <c r="DF17" s="17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8"/>
    </row>
  </sheetData>
  <mergeCells count="1">
    <mergeCell ref="F4:G4"/>
  </mergeCells>
  <conditionalFormatting sqref="I7:I17">
    <cfRule type="containsText" dxfId="14" priority="522" operator="containsText" text="INVALID MARK">
      <formula>NOT(ISERROR(SEARCH("INVALID MARK",I7)))</formula>
    </cfRule>
    <cfRule type="containsText" dxfId="13" priority="523" operator="containsText" text="INVALID ENTRY">
      <formula>NOT(ISERROR(SEARCH("INVALID ENTRY",I7)))</formula>
    </cfRule>
    <cfRule type="containsText" dxfId="12" priority="524" operator="containsText" text="MISSING MARK">
      <formula>NOT(ISERROR(SEARCH("MISSING MARK",I7)))</formula>
    </cfRule>
  </conditionalFormatting>
  <conditionalFormatting sqref="D7">
    <cfRule type="containsText" dxfId="11" priority="295" operator="containsText" text="FAIL">
      <formula>NOT(ISERROR(SEARCH("FAIL",D7)))</formula>
    </cfRule>
    <cfRule type="containsText" dxfId="10" priority="296" operator="containsText" text="PASS">
      <formula>NOT(ISERROR(SEARCH("PASS",D7)))</formula>
    </cfRule>
  </conditionalFormatting>
  <conditionalFormatting sqref="D8:D10">
    <cfRule type="containsText" dxfId="9" priority="277" operator="containsText" text="FAIL">
      <formula>NOT(ISERROR(SEARCH("FAIL",D8)))</formula>
    </cfRule>
    <cfRule type="containsText" dxfId="8" priority="278" operator="containsText" text="PASS">
      <formula>NOT(ISERROR(SEARCH("PASS",D8)))</formula>
    </cfRule>
  </conditionalFormatting>
  <conditionalFormatting sqref="H7:H16">
    <cfRule type="containsText" dxfId="7" priority="273" operator="containsText" text="INVALID MARK">
      <formula>NOT(ISERROR(SEARCH("INVALID MARK",H7)))</formula>
    </cfRule>
  </conditionalFormatting>
  <conditionalFormatting sqref="D11:D15">
    <cfRule type="containsText" dxfId="6" priority="271" operator="containsText" text="FAIL">
      <formula>NOT(ISERROR(SEARCH("FAIL",D11)))</formula>
    </cfRule>
    <cfRule type="containsText" dxfId="5" priority="272" operator="containsText" text="PASS">
      <formula>NOT(ISERROR(SEARCH("PASS",D11)))</formula>
    </cfRule>
  </conditionalFormatting>
  <conditionalFormatting sqref="D16">
    <cfRule type="containsText" dxfId="4" priority="265" operator="containsText" text="FAIL">
      <formula>NOT(ISERROR(SEARCH("FAIL",D16)))</formula>
    </cfRule>
    <cfRule type="containsText" dxfId="3" priority="266" operator="containsText" text="PASS">
      <formula>NOT(ISERROR(SEARCH("PASS",D16)))</formula>
    </cfRule>
  </conditionalFormatting>
  <conditionalFormatting sqref="H17">
    <cfRule type="containsText" dxfId="2" priority="246" operator="containsText" text="INVALID MARK">
      <formula>NOT(ISERROR(SEARCH("INVALID MARK",H17)))</formula>
    </cfRule>
  </conditionalFormatting>
  <conditionalFormatting sqref="D17">
    <cfRule type="containsText" dxfId="1" priority="241" operator="containsText" text="FAIL">
      <formula>NOT(ISERROR(SEARCH("FAIL",D17)))</formula>
    </cfRule>
    <cfRule type="containsText" dxfId="0" priority="242" operator="containsText" text="PASS">
      <formula>NOT(ISERROR(SEARCH("PASS",D17)))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Final Marks</vt:lpstr>
      <vt:lpstr>Test 1</vt:lpstr>
      <vt:lpstr>Test 2</vt:lpstr>
      <vt:lpstr>Oral Assignment 1</vt:lpstr>
      <vt:lpstr>Test 4</vt:lpstr>
      <vt:lpstr>Exam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2020-10-08T19:09:49Z</dcterms:modified>
</cp:coreProperties>
</file>