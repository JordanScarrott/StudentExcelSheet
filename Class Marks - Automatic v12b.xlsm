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K17" i="52" l="1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I31" i="1"/>
  <c r="I33" i="1"/>
  <c r="I36" i="1"/>
  <c r="I37" i="1"/>
  <c r="I32" i="1"/>
  <c r="I34" i="1"/>
  <c r="I35" i="1"/>
  <c r="I29" i="1"/>
  <c r="I30" i="1"/>
  <c r="I38" i="1"/>
  <c r="I28" i="1"/>
  <c r="I15" i="56"/>
  <c r="I17" i="56"/>
  <c r="I13" i="55"/>
  <c r="I14" i="54"/>
  <c r="M7" i="1" l="1"/>
  <c r="M8" i="1"/>
  <c r="M11" i="1"/>
  <c r="M12" i="1"/>
  <c r="M9" i="1"/>
  <c r="M4" i="1"/>
  <c r="M10" i="1"/>
  <c r="M5" i="1"/>
  <c r="M6" i="1"/>
  <c r="M13" i="1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D14" i="58" s="1"/>
  <c r="H17" i="58"/>
  <c r="H15" i="56"/>
  <c r="D15" i="56" s="1"/>
  <c r="H17" i="56"/>
  <c r="D17" i="56" s="1"/>
  <c r="H15" i="58"/>
  <c r="H13" i="56"/>
  <c r="H16" i="56"/>
  <c r="H11" i="56"/>
  <c r="H13" i="55"/>
  <c r="D13" i="55" s="1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7" i="55"/>
  <c r="I12" i="58"/>
  <c r="I9" i="58"/>
  <c r="I14" i="58"/>
  <c r="I17" i="58"/>
  <c r="I8" i="58"/>
  <c r="I16" i="58"/>
  <c r="I11" i="58"/>
  <c r="I13" i="58"/>
  <c r="I10" i="58"/>
  <c r="I15" i="58"/>
  <c r="I10" i="56"/>
  <c r="I13" i="56"/>
  <c r="I16" i="56"/>
  <c r="I11" i="56"/>
  <c r="I12" i="56"/>
  <c r="I8" i="56"/>
  <c r="I14" i="56"/>
  <c r="I9" i="56"/>
  <c r="I9" i="55"/>
  <c r="I12" i="55"/>
  <c r="I15" i="55"/>
  <c r="I14" i="55"/>
  <c r="I11" i="55"/>
  <c r="I16" i="55"/>
  <c r="I8" i="55"/>
  <c r="I10" i="55"/>
  <c r="D17" i="55" l="1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K7" i="52"/>
  <c r="G7" i="52"/>
  <c r="F7" i="52"/>
  <c r="E7" i="52"/>
  <c r="K7" i="54"/>
  <c r="G7" i="54"/>
  <c r="F7" i="54"/>
  <c r="E7" i="54"/>
  <c r="N27" i="1" l="1"/>
  <c r="M27" i="1" l="1"/>
  <c r="K6" i="54"/>
  <c r="D3" i="54"/>
  <c r="N25" i="1" s="1"/>
  <c r="H17" i="54" l="1"/>
  <c r="D17" i="54" s="1"/>
  <c r="N26" i="1"/>
  <c r="O26" i="1"/>
  <c r="Q26" i="1"/>
  <c r="P26" i="1"/>
  <c r="H16" i="54"/>
  <c r="D16" i="54" s="1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I17" i="54"/>
  <c r="I11" i="54"/>
  <c r="I12" i="54"/>
  <c r="I9" i="54"/>
  <c r="I16" i="54"/>
  <c r="I8" i="54"/>
  <c r="I13" i="54"/>
  <c r="I10" i="54"/>
  <c r="I15" i="54"/>
  <c r="D15" i="54" l="1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D11" i="52" s="1"/>
  <c r="H13" i="52"/>
  <c r="H8" i="52"/>
  <c r="H10" i="52"/>
  <c r="H9" i="52"/>
  <c r="D9" i="52" s="1"/>
  <c r="H7" i="52"/>
  <c r="I6" i="52"/>
  <c r="G5" i="52"/>
  <c r="F5" i="52"/>
  <c r="E5" i="52"/>
  <c r="D3" i="52"/>
  <c r="I17" i="52"/>
  <c r="I10" i="52"/>
  <c r="I15" i="52"/>
  <c r="I9" i="52"/>
  <c r="I16" i="52"/>
  <c r="I14" i="52"/>
  <c r="I11" i="52"/>
  <c r="I13" i="52"/>
  <c r="I8" i="52"/>
  <c r="I12" i="52"/>
  <c r="D8" i="52" l="1"/>
  <c r="D17" i="52"/>
  <c r="D12" i="52"/>
  <c r="D7" i="52" l="1"/>
  <c r="D10" i="52" l="1"/>
  <c r="D14" i="52" l="1"/>
  <c r="D16" i="52"/>
  <c r="D13" i="52"/>
  <c r="D15" i="52"/>
  <c r="I7" i="52"/>
  <c r="I7" i="58"/>
  <c r="I7" i="56"/>
  <c r="I7" i="55"/>
  <c r="I7" i="54"/>
  <c r="K29" i="1" l="1"/>
  <c r="K30" i="1"/>
  <c r="K31" i="1"/>
  <c r="K32" i="1"/>
  <c r="K33" i="1"/>
  <c r="K34" i="1"/>
  <c r="K28" i="1"/>
  <c r="Q33" i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4" i="1" l="1"/>
  <c r="L34" i="1" s="1"/>
  <c r="J34" i="1" s="1"/>
  <c r="G34" i="1" s="1"/>
  <c r="M30" i="1"/>
  <c r="L30" i="1" s="1"/>
  <c r="J30" i="1" s="1"/>
  <c r="G30" i="1" s="1"/>
  <c r="M32" i="1"/>
  <c r="L32" i="1" s="1"/>
  <c r="J32" i="1" s="1"/>
  <c r="G32" i="1" s="1"/>
  <c r="M31" i="1"/>
  <c r="L31" i="1" s="1"/>
  <c r="J31" i="1" s="1"/>
  <c r="H31" i="1" s="1"/>
  <c r="M28" i="1"/>
  <c r="L28" i="1" s="1"/>
  <c r="J28" i="1" s="1"/>
  <c r="M33" i="1"/>
  <c r="L33" i="1" s="1"/>
  <c r="J33" i="1" s="1"/>
  <c r="M29" i="1"/>
  <c r="L29" i="1" s="1"/>
  <c r="J29" i="1" s="1"/>
  <c r="H29" i="1" s="1"/>
  <c r="H28" i="1" l="1"/>
  <c r="G28" i="1"/>
  <c r="H30" i="1"/>
  <c r="H33" i="1"/>
  <c r="G33" i="1"/>
  <c r="G29" i="1"/>
  <c r="G31" i="1"/>
  <c r="H34" i="1"/>
  <c r="H32" i="1"/>
  <c r="N38" i="1"/>
  <c r="N36" i="1"/>
  <c r="N35" i="1"/>
  <c r="N37" i="1"/>
  <c r="K37" i="1" l="1"/>
  <c r="Q37" i="1"/>
  <c r="P37" i="1"/>
  <c r="O37" i="1"/>
  <c r="K38" i="1" l="1"/>
  <c r="Q38" i="1"/>
  <c r="P38" i="1"/>
  <c r="O38" i="1"/>
  <c r="M38" i="1" s="1"/>
  <c r="L38" i="1" s="1"/>
  <c r="Q35" i="1"/>
  <c r="P35" i="1"/>
  <c r="O35" i="1"/>
  <c r="K36" i="1"/>
  <c r="Q36" i="1"/>
  <c r="P36" i="1"/>
  <c r="O36" i="1"/>
  <c r="M37" i="1"/>
  <c r="L37" i="1" s="1"/>
  <c r="J37" i="1" s="1"/>
  <c r="H37" i="1" l="1"/>
  <c r="G37" i="1"/>
  <c r="M35" i="1"/>
  <c r="L35" i="1" s="1"/>
  <c r="M36" i="1"/>
  <c r="L36" i="1" s="1"/>
  <c r="J36" i="1" s="1"/>
  <c r="J38" i="1"/>
  <c r="G38" i="1" s="1"/>
  <c r="K35" i="1"/>
  <c r="H36" i="1" l="1"/>
  <c r="G36" i="1"/>
  <c r="J35" i="1"/>
  <c r="H38" i="1"/>
  <c r="M17" i="1" l="1"/>
  <c r="M18" i="1"/>
  <c r="M19" i="1"/>
  <c r="H35" i="1"/>
  <c r="G35" i="1"/>
  <c r="M16" i="1" s="1"/>
  <c r="M15" i="1" l="1"/>
  <c r="M14" i="1"/>
</calcChain>
</file>

<file path=xl/sharedStrings.xml><?xml version="1.0" encoding="utf-8"?>
<sst xmlns="http://schemas.openxmlformats.org/spreadsheetml/2006/main" count="202" uniqueCount="106">
  <si>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</si>
  <si>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</si>
  <si>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</si>
  <si>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</si>
  <si>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</si>
  <si>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</si>
  <si>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</si>
  <si>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</si>
  <si>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</si>
  <si>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</si>
  <si>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</si>
  <si>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</si>
  <si>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</si>
  <si>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</si>
  <si>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</si>
  <si>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</si>
  <si>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</si>
  <si>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</si>
  <si>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</si>
  <si>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</si>
  <si>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</si>
  <si>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</si>
  <si>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</si>
  <si>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</si>
  <si>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</si>
  <si>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</si>
  <si>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</si>
  <si>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</si>
  <si>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</si>
  <si>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</si>
  <si>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</si>
  <si>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</si>
  <si>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</si>
  <si>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</si>
  <si>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</si>
  <si>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</si>
  <si>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</si>
  <si>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</si>
  <si>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</si>
  <si>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</si>
  <si>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</si>
  <si>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</si>
  <si>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</si>
  <si>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</si>
  <si>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</si>
  <si>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</si>
  <si>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</si>
  <si>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</si>
  <si>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</si>
  <si>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</si>
  <si>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</si>
  <si>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</si>
  <si>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</si>
  <si>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</si>
  <si>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</si>
  <si>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</si>
  <si>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</si>
  <si>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</si>
  <si>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</si>
  <si>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</si>
  <si>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</si>
  <si>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</si>
  <si>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</si>
  <si>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</si>
  <si>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</si>
  <si>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</si>
  <si>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</si>
  <si>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</si>
  <si>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</si>
  <si>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</si>
  <si>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</si>
  <si>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</si>
  <si>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</si>
  <si>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</si>
  <si>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</si>
  <si>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</si>
  <si>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</si>
  <si>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Press this button if the program no longer registers your number of tests and students inputs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</si>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</sst>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32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8" fillId="0" borderId="1" xfId="1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7"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7D470"/>
      <color rgb="FFF36B4B"/>
      <color rgb="FFFF6600"/>
      <color rgb="FFABF34B"/>
      <color rgb="FFABF346"/>
      <color rgb="FFABF32B"/>
      <color rgb="FFABF37E"/>
      <color rgb="FFA4DC7E"/>
      <color rgb="FF09AB4B"/>
      <color rgb="FFF3A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</xdr:row>
          <xdr:rowOff>95250</xdr:rowOff>
        </xdr:from>
        <xdr:to>
          <xdr:col>20</xdr:col>
          <xdr:colOff>361950</xdr:colOff>
          <xdr:row>5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Debug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X38"/>
  <sheetViews>
    <sheetView tabSelected="1" zoomScaleNormal="100" workbookViewId="0">
      <selection activeCell="J34" sqref="J34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24" x14ac:dyDescent="0.25">
      <c r="C1" s="33"/>
    </row>
    <row r="2" spans="3:24" ht="15.75" thickBot="1" x14ac:dyDescent="0.3"/>
    <row r="3" spans="3:24" ht="15.75" thickBot="1" x14ac:dyDescent="0.3">
      <c r="C3" s="38" t="s">
        <v>15</v>
      </c>
      <c r="D3" s="66"/>
      <c r="F3" s="122" t="s">
        <v>68</v>
      </c>
      <c r="G3" s="123"/>
      <c r="H3" s="123"/>
      <c r="I3" s="124"/>
      <c r="J3" s="35"/>
      <c r="K3" s="46" t="s">
        <v>26</v>
      </c>
      <c r="L3" s="47" t="s">
        <v>25</v>
      </c>
      <c r="M3" s="47" t="s">
        <v>24</v>
      </c>
      <c r="V3" s="107" t="s">
        <v>77</v>
      </c>
      <c r="W3" s="108"/>
      <c r="X3" s="109"/>
    </row>
    <row r="4" spans="3:24" ht="15.75" thickBot="1" x14ac:dyDescent="0.3">
      <c r="C4" s="42" t="s">
        <v>14</v>
      </c>
      <c r="D4" s="67"/>
      <c r="F4" s="125"/>
      <c r="G4" s="126"/>
      <c r="H4" s="126"/>
      <c r="I4" s="127"/>
      <c r="J4" s="37"/>
      <c r="K4" s="53" t="s">
        <v>16</v>
      </c>
      <c r="L4" s="48" t="s">
        <v>31</v>
      </c>
      <c r="M4" s="59">
        <f>COUNTIF(I$28:I$38, "="&amp;L4)</f>
        <v>1</v>
      </c>
      <c r="V4" s="110"/>
      <c r="W4" s="111"/>
      <c r="X4" s="112"/>
    </row>
    <row r="5" spans="3:24" ht="15.75" thickBot="1" x14ac:dyDescent="0.3">
      <c r="C5" s="40" t="s">
        <v>13</v>
      </c>
      <c r="D5" s="68"/>
      <c r="E5" s="36"/>
      <c r="F5" s="125"/>
      <c r="G5" s="126"/>
      <c r="H5" s="126"/>
      <c r="I5" s="127"/>
      <c r="J5" s="37"/>
      <c r="K5" s="54" t="s">
        <v>17</v>
      </c>
      <c r="L5" s="48" t="s">
        <v>33</v>
      </c>
      <c r="M5" s="59">
        <f>COUNTIF(I$28:I$38, "="&amp;L5)</f>
        <v>0</v>
      </c>
      <c r="V5" s="110"/>
      <c r="W5" s="111"/>
      <c r="X5" s="112"/>
    </row>
    <row r="6" spans="3:24" ht="15.75" thickBot="1" x14ac:dyDescent="0.3">
      <c r="C6" s="42" t="s">
        <v>12</v>
      </c>
      <c r="D6" s="67"/>
      <c r="F6" s="125"/>
      <c r="G6" s="126"/>
      <c r="H6" s="126"/>
      <c r="I6" s="127"/>
      <c r="J6" s="37"/>
      <c r="K6" s="55" t="s">
        <v>18</v>
      </c>
      <c r="L6" s="49" t="s">
        <v>34</v>
      </c>
      <c r="M6" s="59">
        <f>COUNTIF(I$28:I$38, "="&amp;L6)</f>
        <v>1</v>
      </c>
      <c r="V6" s="113"/>
      <c r="W6" s="114"/>
      <c r="X6" s="115"/>
    </row>
    <row r="7" spans="3:24" ht="15.75" thickBot="1" x14ac:dyDescent="0.3">
      <c r="C7" s="40" t="s">
        <v>52</v>
      </c>
      <c r="D7" s="90">
        <v>11</v>
      </c>
      <c r="F7" s="119" t="s">
        <v>66</v>
      </c>
      <c r="G7" s="120"/>
      <c r="H7" s="120"/>
      <c r="I7" s="121"/>
      <c r="J7" s="35"/>
      <c r="K7" s="55" t="s">
        <v>19</v>
      </c>
      <c r="L7" s="49" t="s">
        <v>51</v>
      </c>
      <c r="M7" s="59">
        <f>COUNTIF(I$28:I$38, "="&amp;L7)</f>
        <v>2</v>
      </c>
    </row>
    <row r="8" spans="3:24" ht="15.75" thickBot="1" x14ac:dyDescent="0.3">
      <c r="C8" s="44" t="s">
        <v>53</v>
      </c>
      <c r="D8" s="91">
        <v>4</v>
      </c>
      <c r="F8" s="116" t="s">
        <v>67</v>
      </c>
      <c r="G8" s="117"/>
      <c r="H8" s="117"/>
      <c r="I8" s="118"/>
      <c r="J8" s="35"/>
      <c r="K8" s="55" t="s">
        <v>20</v>
      </c>
      <c r="L8" s="49" t="s">
        <v>38</v>
      </c>
      <c r="M8" s="59">
        <f>COUNTIF(I$28:I$38, "="&amp;L8)</f>
        <v>2</v>
      </c>
    </row>
    <row r="9" spans="3:24" ht="15.75" thickBot="1" x14ac:dyDescent="0.3">
      <c r="J9" s="35"/>
      <c r="K9" s="56" t="s">
        <v>21</v>
      </c>
      <c r="L9" s="50" t="s">
        <v>35</v>
      </c>
      <c r="M9" s="59">
        <f>COUNTIF(I$28:I$38, "="&amp;L9)</f>
        <v>2</v>
      </c>
    </row>
    <row r="10" spans="3:24" x14ac:dyDescent="0.25">
      <c r="C10" s="38" t="s">
        <v>49</v>
      </c>
      <c r="D10" s="39">
        <v>0.5</v>
      </c>
      <c r="F10" s="128" t="s">
        <v>69</v>
      </c>
      <c r="G10" s="129"/>
      <c r="H10" s="129"/>
      <c r="I10" s="130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24" x14ac:dyDescent="0.25">
      <c r="C11" s="42" t="s">
        <v>47</v>
      </c>
      <c r="D11" s="43">
        <v>0.4</v>
      </c>
      <c r="F11" s="119" t="s">
        <v>70</v>
      </c>
      <c r="G11" s="120"/>
      <c r="H11" s="120"/>
      <c r="I11" s="121"/>
      <c r="J11" s="35"/>
      <c r="K11" s="56" t="s">
        <v>23</v>
      </c>
      <c r="L11" s="50" t="s">
        <v>36</v>
      </c>
      <c r="M11" s="59">
        <f>COUNTIF(I$28:I$38, "="&amp;L11)</f>
        <v>1</v>
      </c>
    </row>
    <row r="12" spans="3:24" x14ac:dyDescent="0.25">
      <c r="C12" s="40" t="s">
        <v>44</v>
      </c>
      <c r="D12" s="41">
        <v>0.5</v>
      </c>
      <c r="F12" s="119" t="s">
        <v>72</v>
      </c>
      <c r="G12" s="120"/>
      <c r="H12" s="120"/>
      <c r="I12" s="121"/>
      <c r="J12" s="35"/>
      <c r="K12" s="57" t="s">
        <v>30</v>
      </c>
      <c r="L12" s="51" t="s">
        <v>37</v>
      </c>
      <c r="M12" s="59">
        <f>COUNTIF(I$28:I$38, "="&amp;L12)</f>
        <v>0</v>
      </c>
    </row>
    <row r="13" spans="3:24" ht="15.75" thickBot="1" x14ac:dyDescent="0.3">
      <c r="C13" s="44" t="s">
        <v>48</v>
      </c>
      <c r="D13" s="45">
        <v>0.4</v>
      </c>
      <c r="F13" s="116" t="s">
        <v>71</v>
      </c>
      <c r="G13" s="117"/>
      <c r="H13" s="117"/>
      <c r="I13" s="118"/>
      <c r="J13" s="35"/>
      <c r="K13" s="58" t="s">
        <v>29</v>
      </c>
      <c r="L13" s="52" t="s">
        <v>39</v>
      </c>
      <c r="M13" s="59">
        <f>COUNTIF(I$28:I$38, "="&amp;L13)</f>
        <v>1</v>
      </c>
    </row>
    <row r="14" spans="3:24" x14ac:dyDescent="0.25">
      <c r="J14" s="35"/>
      <c r="K14" s="103" t="s">
        <v>28</v>
      </c>
      <c r="L14" s="104"/>
      <c r="M14" s="60">
        <f>COUNTIF(H28:H38, "=FAIL")</f>
        <v>3</v>
      </c>
    </row>
    <row r="15" spans="3:24" x14ac:dyDescent="0.25">
      <c r="J15" s="35"/>
      <c r="K15" s="105" t="s">
        <v>27</v>
      </c>
      <c r="L15" s="106"/>
      <c r="M15" s="59">
        <f>COUNTIF(H28:H38, "=PASS")</f>
        <v>8</v>
      </c>
    </row>
    <row r="16" spans="3:24" x14ac:dyDescent="0.25">
      <c r="J16" s="35"/>
      <c r="K16" s="105" t="s">
        <v>40</v>
      </c>
      <c r="L16" s="106"/>
      <c r="M16" s="59">
        <f>COUNTIF(G28:G38, "=WRITE SUPP")</f>
        <v>2</v>
      </c>
    </row>
    <row r="17" spans="3:18" x14ac:dyDescent="0.25">
      <c r="J17" s="35"/>
      <c r="K17" s="105" t="s">
        <v>41</v>
      </c>
      <c r="L17" s="106"/>
      <c r="M17" s="61">
        <f>MAX(J28:J38)-MIN(J28:J38)</f>
        <v>0.48981818181818176</v>
      </c>
    </row>
    <row r="18" spans="3:18" x14ac:dyDescent="0.25">
      <c r="J18" s="35"/>
      <c r="K18" s="105" t="s">
        <v>42</v>
      </c>
      <c r="L18" s="106"/>
      <c r="M18" s="61">
        <f>AVERAGE(J28:J38)</f>
        <v>0.62047933884297513</v>
      </c>
    </row>
    <row r="19" spans="3:18" ht="15.75" thickBot="1" x14ac:dyDescent="0.3">
      <c r="J19" s="35"/>
      <c r="K19" s="101" t="s">
        <v>43</v>
      </c>
      <c r="L19" s="102"/>
      <c r="M19" s="62">
        <f>STDEV(J28:J38)</f>
        <v>0.13020848565681076</v>
      </c>
    </row>
    <row r="24" spans="3:18" ht="15.75" thickBot="1" x14ac:dyDescent="0.3"/>
    <row r="25" spans="3:18" ht="15.75" thickBot="1" x14ac:dyDescent="0.3">
      <c r="D25" s="63" t="s">
        <v>3</v>
      </c>
      <c r="E25" s="64" t="s">
        <v>1</v>
      </c>
      <c r="F25" s="64" t="s">
        <v>2</v>
      </c>
      <c r="G25" s="64" t="s">
        <v>46</v>
      </c>
      <c r="H25" s="64" t="s">
        <v>45</v>
      </c>
      <c r="I25" s="64" t="s">
        <v>25</v>
      </c>
      <c r="J25" s="70" t="s">
        <v>9</v>
      </c>
      <c r="K25" s="64" t="s">
        <v>4</v>
      </c>
      <c r="L25" s="64" t="s">
        <v>55</v>
      </c>
      <c r="M25" s="98" t="s">
        <v>50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  <c r="R25" s="36"/>
    </row>
    <row r="26" spans="3:18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  <c r="R26" s="36"/>
    </row>
    <row r="27" spans="3:18" ht="15.75" thickBot="1" x14ac:dyDescent="0.3">
      <c r="C27" s="29" t="s">
        <v>54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7" si="1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  <c r="R27" s="36"/>
    </row>
    <row r="28" spans="3:18" x14ac:dyDescent="0.25">
      <c r="D28" s="73" t="s">
        <v>78</v>
      </c>
      <c r="E28" s="96" t="s">
        <v>91</v>
      </c>
      <c r="F28" s="88" t="s">
        <v>80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STUDENT_GRADE(J28,K$4:K$13,L$4:L$13)</f>
        <v>B</v>
      </c>
      <c r="J28" s="89">
        <f t="shared" ref="J28:J37" si="2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 t="shared" si="1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8" x14ac:dyDescent="0.25">
      <c r="D29" s="73" t="s">
        <v>81</v>
      </c>
      <c r="E29" s="96" t="s">
        <v>79</v>
      </c>
      <c r="F29" s="88" t="s">
        <v>83</v>
      </c>
      <c r="G29" s="74" t="str">
        <f t="shared" ref="G29:G31" si="3">IF(AND(K29&gt;=D$13, J29&gt;=D$11), IF(OR(K29&lt;D$12, J29&lt;D$10), "WRITE SUPP", "NO SUPP"), "NO SUPP")</f>
        <v>NO SUPP</v>
      </c>
      <c r="H29" s="74" t="str">
        <f t="shared" ref="H29:H31" si="4">IF(K29&gt;=D$12, IF(J29&gt;=D$10, "PASS", "FAIL"), "FAIL")</f>
        <v>PASS</v>
      </c>
      <c r="I29" s="74" t="str">
        <f t="shared" ref="I29:I38" si="5">STUDENT_GRADE(J29,K$4:K$13,L$4:L$13)</f>
        <v>A</v>
      </c>
      <c r="J29" s="89">
        <f t="shared" si="2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6">M29/M$27</f>
        <v>0.8954545454545455</v>
      </c>
      <c r="M29" s="74">
        <f t="shared" si="1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8" x14ac:dyDescent="0.25">
      <c r="D30" s="73" t="s">
        <v>82</v>
      </c>
      <c r="E30" s="73" t="s">
        <v>86</v>
      </c>
      <c r="F30" s="88" t="s">
        <v>84</v>
      </c>
      <c r="G30" s="74" t="str">
        <f t="shared" si="3"/>
        <v>NO SUPP</v>
      </c>
      <c r="H30" s="74" t="str">
        <f t="shared" si="4"/>
        <v>FAIL</v>
      </c>
      <c r="I30" s="74" t="str">
        <f t="shared" si="5"/>
        <v>F</v>
      </c>
      <c r="J30" s="89">
        <f t="shared" si="2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6"/>
        <v>0.35909090909090907</v>
      </c>
      <c r="M30" s="74">
        <f t="shared" si="1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8" x14ac:dyDescent="0.25">
      <c r="D31" s="73" t="s">
        <v>87</v>
      </c>
      <c r="E31" s="73" t="s">
        <v>88</v>
      </c>
      <c r="F31" s="88" t="s">
        <v>85</v>
      </c>
      <c r="G31" s="74" t="str">
        <f t="shared" si="3"/>
        <v>NO SUPP</v>
      </c>
      <c r="H31" s="74" t="str">
        <f t="shared" si="4"/>
        <v>PASS</v>
      </c>
      <c r="I31" s="74" t="str">
        <f t="shared" si="5"/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6"/>
        <v>0.55909090909090908</v>
      </c>
      <c r="M31" s="74">
        <f t="shared" si="1"/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8" x14ac:dyDescent="0.25">
      <c r="D32" s="73" t="s">
        <v>90</v>
      </c>
      <c r="E32" s="73" t="s">
        <v>89</v>
      </c>
      <c r="F32" s="88" t="s">
        <v>92</v>
      </c>
      <c r="G32" s="74" t="str">
        <f t="shared" ref="G32:G36" si="7">IF(AND(K32&gt;=D$13, J32&gt;=D$11), IF(OR(K32&lt;D$12, J32&lt;D$10), "WRITE SUPP", "NO SUPP"), "NO SUPP")</f>
        <v>WRITE SUPP</v>
      </c>
      <c r="H32" s="74" t="str">
        <f t="shared" ref="H32:H36" si="8">IF(K32&gt;=D$12, IF(J32&gt;=D$10, "PASS", "FAIL"), "FAIL")</f>
        <v>FAIL</v>
      </c>
      <c r="I32" s="74" t="str">
        <f t="shared" si="5"/>
        <v>C+</v>
      </c>
      <c r="J32" s="89">
        <f t="shared" si="2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9">M32/M$27</f>
        <v>0.69545454545454544</v>
      </c>
      <c r="M32" s="74">
        <f t="shared" si="1"/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94</v>
      </c>
      <c r="E33" s="73" t="s">
        <v>93</v>
      </c>
      <c r="F33" s="88" t="s">
        <v>95</v>
      </c>
      <c r="G33" s="74" t="str">
        <f t="shared" si="7"/>
        <v>WRITE SUPP</v>
      </c>
      <c r="H33" s="74" t="str">
        <f t="shared" si="8"/>
        <v>FAIL</v>
      </c>
      <c r="I33" s="74" t="str">
        <f t="shared" si="5"/>
        <v>C-</v>
      </c>
      <c r="J33" s="89">
        <f t="shared" si="2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9"/>
        <v>0.37272727272727274</v>
      </c>
      <c r="M33" s="74">
        <f t="shared" si="1"/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97</v>
      </c>
      <c r="E34" s="73" t="s">
        <v>96</v>
      </c>
      <c r="F34" s="88" t="s">
        <v>99</v>
      </c>
      <c r="G34" s="74" t="str">
        <f t="shared" si="7"/>
        <v>NO SUPP</v>
      </c>
      <c r="H34" s="74" t="str">
        <f t="shared" si="8"/>
        <v>PASS</v>
      </c>
      <c r="I34" s="74" t="str">
        <f t="shared" si="5"/>
        <v>C+</v>
      </c>
      <c r="J34" s="89">
        <f t="shared" si="2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9"/>
        <v>0.59090909090909094</v>
      </c>
      <c r="M34" s="74">
        <f t="shared" si="1"/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97</v>
      </c>
      <c r="E35" s="73" t="s">
        <v>101</v>
      </c>
      <c r="F35" s="88" t="s">
        <v>100</v>
      </c>
      <c r="G35" s="74" t="str">
        <f t="shared" si="7"/>
        <v>NO SUPP</v>
      </c>
      <c r="H35" s="74" t="str">
        <f t="shared" si="8"/>
        <v>PASS</v>
      </c>
      <c r="I35" s="74" t="str">
        <f t="shared" si="5"/>
        <v>B-</v>
      </c>
      <c r="J35" s="89">
        <f t="shared" si="2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9"/>
        <v>0.55454545454545456</v>
      </c>
      <c r="M35" s="74">
        <f t="shared" si="1"/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97</v>
      </c>
      <c r="E36" s="73" t="s">
        <v>98</v>
      </c>
      <c r="F36" s="88" t="s">
        <v>102</v>
      </c>
      <c r="G36" s="74" t="str">
        <f t="shared" si="7"/>
        <v>NO SUPP</v>
      </c>
      <c r="H36" s="74" t="str">
        <f t="shared" si="8"/>
        <v>PASS</v>
      </c>
      <c r="I36" s="74" t="str">
        <f t="shared" si="5"/>
        <v>B</v>
      </c>
      <c r="J36" s="89">
        <f t="shared" si="2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9"/>
        <v>0.6045454545454545</v>
      </c>
      <c r="M36" s="74">
        <f t="shared" si="1"/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98</v>
      </c>
      <c r="F37" s="88"/>
      <c r="G37" s="74" t="str">
        <f t="shared" ref="G37" si="10">IF(AND(K37&gt;=D$13, J37&gt;=D$11), IF(OR(K37&lt;D$12, J37&lt;D$10), "WRITE SUPP", "NO SUPP"), "NO SUPP")</f>
        <v>NO SUPP</v>
      </c>
      <c r="H37" s="74" t="str">
        <f t="shared" ref="H37" si="11">IF(K37&gt;=D$12, IF(J37&gt;=D$10, "PASS", "FAIL"), "FAIL")</f>
        <v>PASS</v>
      </c>
      <c r="I37" s="74" t="str">
        <f t="shared" si="5"/>
        <v>B+</v>
      </c>
      <c r="J37" s="89">
        <f t="shared" si="2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2">M37/M$27</f>
        <v>0.70909090909090911</v>
      </c>
      <c r="M37" s="74">
        <f t="shared" si="1"/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  <row r="38" spans="4:17" x14ac:dyDescent="0.25">
      <c r="D38" s="73" t="s">
        <v>104</v>
      </c>
      <c r="E38" s="73" t="s">
        <v>103</v>
      </c>
      <c r="F38" s="88" t="s">
        <v>105</v>
      </c>
      <c r="G38" s="74" t="str">
        <f t="shared" ref="G38" si="13">IF(AND(K38&gt;=D$13, J38&gt;=D$11), IF(OR(K38&lt;D$12, J38&lt;D$10), "WRITE SUPP", "NO SUPP"), "NO SUPP")</f>
        <v>NO SUPP</v>
      </c>
      <c r="H38" s="74" t="str">
        <f t="shared" ref="H38" si="14">IF(K38&gt;=D$12, IF(J38&gt;=D$10, "PASS", "FAIL"), "FAIL")</f>
        <v>PASS</v>
      </c>
      <c r="I38" s="74" t="str">
        <f t="shared" si="5"/>
        <v>B-</v>
      </c>
      <c r="J38" s="89">
        <f t="shared" ref="J38" si="15">IFERROR(K$26*K38+L$26*L38, L$26*L38)</f>
        <v>0.62781818181818172</v>
      </c>
      <c r="K38" s="89">
        <f>IF(ISNUMBER(FIND("MISSING MARK", Exam!I17)), Exam!I17, IF(ISNUMBER(FIND("INVALID MARK", Exam!I17)), Exam!I17, Exam!H17))</f>
        <v>0.69</v>
      </c>
      <c r="L38" s="89">
        <f t="shared" ref="L38" si="16">M38/M$27</f>
        <v>0.58636363636363631</v>
      </c>
      <c r="M38" s="74">
        <f t="shared" ref="M38" si="17"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4">
    <mergeCell ref="V3:X6"/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ontainsText" dxfId="156" priority="3708" operator="containsText" text="A">
      <formula>NOT(ISERROR(SEARCH("A",I28)))</formula>
    </cfRule>
  </conditionalFormatting>
  <conditionalFormatting sqref="G28">
    <cfRule type="containsText" dxfId="155" priority="3707" operator="containsText" text="WRITE SUPP">
      <formula>NOT(ISERROR(SEARCH("WRITE SUPP",G28)))</formula>
    </cfRule>
  </conditionalFormatting>
  <conditionalFormatting sqref="K28:K37">
    <cfRule type="containsText" dxfId="154" priority="126" operator="containsText" text="MISSING MARK">
      <formula>NOT(ISERROR(SEARCH("MISSING MARK",K28)))</formula>
    </cfRule>
    <cfRule type="containsText" dxfId="153" priority="3703" operator="containsText" text="INVALID MARK">
      <formula>NOT(ISERROR(SEARCH("INVALID MARK",K28)))</formula>
    </cfRule>
    <cfRule type="cellIs" dxfId="152" priority="3710" operator="lessThan">
      <formula>$D$12</formula>
    </cfRule>
    <cfRule type="cellIs" priority="3711" operator="greaterThanOrEqual">
      <formula>$D$12</formula>
    </cfRule>
    <cfRule type="expression" dxfId="151" priority="3712">
      <formula>"&gt;=$D$10"</formula>
    </cfRule>
  </conditionalFormatting>
  <conditionalFormatting sqref="N28">
    <cfRule type="containsText" dxfId="150" priority="3704" operator="containsText" text="INVALID MARK">
      <formula>NOT(ISERROR(SEARCH("INVALID MARK",N28)))</formula>
    </cfRule>
    <cfRule type="containsText" dxfId="149" priority="3705" operator="containsText" text="INVALID ENTRY">
      <formula>NOT(ISERROR(SEARCH("INVALID ENTRY",N28)))</formula>
    </cfRule>
    <cfRule type="containsText" dxfId="148" priority="3706" operator="containsText" text="MISSING MARK">
      <formula>NOT(ISERROR(SEARCH("MISSING MARK",N28)))</formula>
    </cfRule>
  </conditionalFormatting>
  <conditionalFormatting sqref="H28">
    <cfRule type="containsText" dxfId="147" priority="3702" operator="containsText" text="FAIL">
      <formula>NOT(ISERROR(SEARCH("FAIL",H28)))</formula>
    </cfRule>
  </conditionalFormatting>
  <conditionalFormatting sqref="I28:I38">
    <cfRule type="containsText" dxfId="146" priority="3458" operator="containsText" text="F">
      <formula>NOT(ISERROR(SEARCH("F",I28)))</formula>
    </cfRule>
    <cfRule type="containsText" dxfId="145" priority="3459" operator="containsText" text="D">
      <formula>NOT(ISERROR(SEARCH("D",I28)))</formula>
    </cfRule>
    <cfRule type="containsText" dxfId="144" priority="3460" operator="containsText" text="C">
      <formula>NOT(ISERROR(SEARCH("C",I28)))</formula>
    </cfRule>
    <cfRule type="containsText" dxfId="143" priority="3461" operator="containsText" text="B">
      <formula>NOT(ISERROR(SEARCH("B",I28)))</formula>
    </cfRule>
  </conditionalFormatting>
  <conditionalFormatting sqref="G29:G31">
    <cfRule type="containsText" dxfId="142" priority="266" operator="containsText" text="WRITE SUPP">
      <formula>NOT(ISERROR(SEARCH("WRITE SUPP",G29)))</formula>
    </cfRule>
  </conditionalFormatting>
  <conditionalFormatting sqref="J28:J37">
    <cfRule type="cellIs" dxfId="141" priority="268" operator="lessThan">
      <formula>$D$10</formula>
    </cfRule>
  </conditionalFormatting>
  <conditionalFormatting sqref="N29:N31">
    <cfRule type="containsText" dxfId="140" priority="263" operator="containsText" text="INVALID MARK">
      <formula>NOT(ISERROR(SEARCH("INVALID MARK",N29)))</formula>
    </cfRule>
    <cfRule type="containsText" dxfId="139" priority="264" operator="containsText" text="INVALID ENTRY">
      <formula>NOT(ISERROR(SEARCH("INVALID ENTRY",N29)))</formula>
    </cfRule>
    <cfRule type="containsText" dxfId="138" priority="265" operator="containsText" text="MISSING MARK">
      <formula>NOT(ISERROR(SEARCH("MISSING MARK",N29)))</formula>
    </cfRule>
  </conditionalFormatting>
  <conditionalFormatting sqref="H29:H31">
    <cfRule type="containsText" dxfId="137" priority="261" operator="containsText" text="FAIL">
      <formula>NOT(ISERROR(SEARCH("FAIL",H29)))</formula>
    </cfRule>
  </conditionalFormatting>
  <conditionalFormatting sqref="O28">
    <cfRule type="containsText" dxfId="136" priority="254" operator="containsText" text="INVALID MARK">
      <formula>NOT(ISERROR(SEARCH("INVALID MARK",O28)))</formula>
    </cfRule>
    <cfRule type="containsText" dxfId="135" priority="255" operator="containsText" text="INVALID ENTRY">
      <formula>NOT(ISERROR(SEARCH("INVALID ENTRY",O28)))</formula>
    </cfRule>
    <cfRule type="containsText" dxfId="134" priority="256" operator="containsText" text="MISSING MARK">
      <formula>NOT(ISERROR(SEARCH("MISSING MARK",O28)))</formula>
    </cfRule>
  </conditionalFormatting>
  <conditionalFormatting sqref="O29:O31">
    <cfRule type="containsText" dxfId="133" priority="251" operator="containsText" text="INVALID MARK">
      <formula>NOT(ISERROR(SEARCH("INVALID MARK",O29)))</formula>
    </cfRule>
    <cfRule type="containsText" dxfId="132" priority="252" operator="containsText" text="INVALID ENTRY">
      <formula>NOT(ISERROR(SEARCH("INVALID ENTRY",O29)))</formula>
    </cfRule>
    <cfRule type="containsText" dxfId="131" priority="253" operator="containsText" text="MISSING MARK">
      <formula>NOT(ISERROR(SEARCH("MISSING MARK",O29)))</formula>
    </cfRule>
  </conditionalFormatting>
  <conditionalFormatting sqref="P28">
    <cfRule type="containsText" dxfId="130" priority="248" operator="containsText" text="INVALID MARK">
      <formula>NOT(ISERROR(SEARCH("INVALID MARK",P28)))</formula>
    </cfRule>
    <cfRule type="containsText" dxfId="129" priority="249" operator="containsText" text="INVALID ENTRY">
      <formula>NOT(ISERROR(SEARCH("INVALID ENTRY",P28)))</formula>
    </cfRule>
    <cfRule type="containsText" dxfId="128" priority="250" operator="containsText" text="MISSING MARK">
      <formula>NOT(ISERROR(SEARCH("MISSING MARK",P28)))</formula>
    </cfRule>
  </conditionalFormatting>
  <conditionalFormatting sqref="P29:P31">
    <cfRule type="containsText" dxfId="127" priority="245" operator="containsText" text="INVALID MARK">
      <formula>NOT(ISERROR(SEARCH("INVALID MARK",P29)))</formula>
    </cfRule>
    <cfRule type="containsText" dxfId="126" priority="246" operator="containsText" text="INVALID ENTRY">
      <formula>NOT(ISERROR(SEARCH("INVALID ENTRY",P29)))</formula>
    </cfRule>
    <cfRule type="containsText" dxfId="125" priority="247" operator="containsText" text="MISSING MARK">
      <formula>NOT(ISERROR(SEARCH("MISSING MARK",P29)))</formula>
    </cfRule>
  </conditionalFormatting>
  <conditionalFormatting sqref="Q28">
    <cfRule type="containsText" dxfId="124" priority="236" operator="containsText" text="INVALID MARK">
      <formula>NOT(ISERROR(SEARCH("INVALID MARK",Q28)))</formula>
    </cfRule>
    <cfRule type="containsText" dxfId="123" priority="237" operator="containsText" text="INVALID ENTRY">
      <formula>NOT(ISERROR(SEARCH("INVALID ENTRY",Q28)))</formula>
    </cfRule>
    <cfRule type="containsText" dxfId="122" priority="238" operator="containsText" text="MISSING MARK">
      <formula>NOT(ISERROR(SEARCH("MISSING MARK",Q28)))</formula>
    </cfRule>
  </conditionalFormatting>
  <conditionalFormatting sqref="Q29:Q31">
    <cfRule type="containsText" dxfId="121" priority="233" operator="containsText" text="INVALID MARK">
      <formula>NOT(ISERROR(SEARCH("INVALID MARK",Q29)))</formula>
    </cfRule>
    <cfRule type="containsText" dxfId="120" priority="234" operator="containsText" text="INVALID ENTRY">
      <formula>NOT(ISERROR(SEARCH("INVALID ENTRY",Q29)))</formula>
    </cfRule>
    <cfRule type="containsText" dxfId="119" priority="235" operator="containsText" text="MISSING MARK">
      <formula>NOT(ISERROR(SEARCH("MISSING MARK",Q29)))</formula>
    </cfRule>
  </conditionalFormatting>
  <conditionalFormatting sqref="G32:G36">
    <cfRule type="containsText" dxfId="118" priority="227" operator="containsText" text="WRITE SUPP">
      <formula>NOT(ISERROR(SEARCH("WRITE SUPP",G32)))</formula>
    </cfRule>
  </conditionalFormatting>
  <conditionalFormatting sqref="N32:N36">
    <cfRule type="containsText" dxfId="117" priority="224" operator="containsText" text="INVALID MARK">
      <formula>NOT(ISERROR(SEARCH("INVALID MARK",N32)))</formula>
    </cfRule>
    <cfRule type="containsText" dxfId="116" priority="225" operator="containsText" text="INVALID ENTRY">
      <formula>NOT(ISERROR(SEARCH("INVALID ENTRY",N32)))</formula>
    </cfRule>
    <cfRule type="containsText" dxfId="115" priority="226" operator="containsText" text="MISSING MARK">
      <formula>NOT(ISERROR(SEARCH("MISSING MARK",N32)))</formula>
    </cfRule>
  </conditionalFormatting>
  <conditionalFormatting sqref="H32:H36">
    <cfRule type="containsText" dxfId="114" priority="222" operator="containsText" text="FAIL">
      <formula>NOT(ISERROR(SEARCH("FAIL",H32)))</formula>
    </cfRule>
  </conditionalFormatting>
  <conditionalFormatting sqref="O32:O36">
    <cfRule type="containsText" dxfId="113" priority="215" operator="containsText" text="INVALID MARK">
      <formula>NOT(ISERROR(SEARCH("INVALID MARK",O32)))</formula>
    </cfRule>
    <cfRule type="containsText" dxfId="112" priority="216" operator="containsText" text="INVALID ENTRY">
      <formula>NOT(ISERROR(SEARCH("INVALID ENTRY",O32)))</formula>
    </cfRule>
    <cfRule type="containsText" dxfId="111" priority="217" operator="containsText" text="MISSING MARK">
      <formula>NOT(ISERROR(SEARCH("MISSING MARK",O32)))</formula>
    </cfRule>
  </conditionalFormatting>
  <conditionalFormatting sqref="P32:P36">
    <cfRule type="containsText" dxfId="110" priority="212" operator="containsText" text="INVALID MARK">
      <formula>NOT(ISERROR(SEARCH("INVALID MARK",P32)))</formula>
    </cfRule>
    <cfRule type="containsText" dxfId="109" priority="213" operator="containsText" text="INVALID ENTRY">
      <formula>NOT(ISERROR(SEARCH("INVALID ENTRY",P32)))</formula>
    </cfRule>
    <cfRule type="containsText" dxfId="108" priority="214" operator="containsText" text="MISSING MARK">
      <formula>NOT(ISERROR(SEARCH("MISSING MARK",P32)))</formula>
    </cfRule>
  </conditionalFormatting>
  <conditionalFormatting sqref="Q32:Q36">
    <cfRule type="containsText" dxfId="107" priority="209" operator="containsText" text="INVALID MARK">
      <formula>NOT(ISERROR(SEARCH("INVALID MARK",Q32)))</formula>
    </cfRule>
    <cfRule type="containsText" dxfId="106" priority="210" operator="containsText" text="INVALID ENTRY">
      <formula>NOT(ISERROR(SEARCH("INVALID ENTRY",Q32)))</formula>
    </cfRule>
    <cfRule type="containsText" dxfId="105" priority="211" operator="containsText" text="MISSING MARK">
      <formula>NOT(ISERROR(SEARCH("MISSING MARK",Q32)))</formula>
    </cfRule>
  </conditionalFormatting>
  <conditionalFormatting sqref="G37">
    <cfRule type="containsText" dxfId="104" priority="194" operator="containsText" text="WRITE SUPP">
      <formula>NOT(ISERROR(SEARCH("WRITE SUPP",G37)))</formula>
    </cfRule>
  </conditionalFormatting>
  <conditionalFormatting sqref="N37">
    <cfRule type="containsText" dxfId="103" priority="191" operator="containsText" text="INVALID MARK">
      <formula>NOT(ISERROR(SEARCH("INVALID MARK",N37)))</formula>
    </cfRule>
    <cfRule type="containsText" dxfId="102" priority="192" operator="containsText" text="INVALID ENTRY">
      <formula>NOT(ISERROR(SEARCH("INVALID ENTRY",N37)))</formula>
    </cfRule>
    <cfRule type="containsText" dxfId="101" priority="193" operator="containsText" text="MISSING MARK">
      <formula>NOT(ISERROR(SEARCH("MISSING MARK",N37)))</formula>
    </cfRule>
  </conditionalFormatting>
  <conditionalFormatting sqref="H37">
    <cfRule type="containsText" dxfId="100" priority="189" operator="containsText" text="FAIL">
      <formula>NOT(ISERROR(SEARCH("FAIL",H37)))</formula>
    </cfRule>
  </conditionalFormatting>
  <conditionalFormatting sqref="O37">
    <cfRule type="containsText" dxfId="99" priority="182" operator="containsText" text="INVALID MARK">
      <formula>NOT(ISERROR(SEARCH("INVALID MARK",O37)))</formula>
    </cfRule>
    <cfRule type="containsText" dxfId="98" priority="183" operator="containsText" text="INVALID ENTRY">
      <formula>NOT(ISERROR(SEARCH("INVALID ENTRY",O37)))</formula>
    </cfRule>
    <cfRule type="containsText" dxfId="97" priority="184" operator="containsText" text="MISSING MARK">
      <formula>NOT(ISERROR(SEARCH("MISSING MARK",O37)))</formula>
    </cfRule>
  </conditionalFormatting>
  <conditionalFormatting sqref="P37">
    <cfRule type="containsText" dxfId="96" priority="179" operator="containsText" text="INVALID MARK">
      <formula>NOT(ISERROR(SEARCH("INVALID MARK",P37)))</formula>
    </cfRule>
    <cfRule type="containsText" dxfId="95" priority="180" operator="containsText" text="INVALID ENTRY">
      <formula>NOT(ISERROR(SEARCH("INVALID ENTRY",P37)))</formula>
    </cfRule>
    <cfRule type="containsText" dxfId="94" priority="181" operator="containsText" text="MISSING MARK">
      <formula>NOT(ISERROR(SEARCH("MISSING MARK",P37)))</formula>
    </cfRule>
  </conditionalFormatting>
  <conditionalFormatting sqref="Q37">
    <cfRule type="containsText" dxfId="93" priority="176" operator="containsText" text="INVALID MARK">
      <formula>NOT(ISERROR(SEARCH("INVALID MARK",Q37)))</formula>
    </cfRule>
    <cfRule type="containsText" dxfId="92" priority="177" operator="containsText" text="INVALID ENTRY">
      <formula>NOT(ISERROR(SEARCH("INVALID ENTRY",Q37)))</formula>
    </cfRule>
    <cfRule type="containsText" dxfId="91" priority="178" operator="containsText" text="MISSING MARK">
      <formula>NOT(ISERROR(SEARCH("MISSING MARK",Q37)))</formula>
    </cfRule>
  </conditionalFormatting>
  <conditionalFormatting sqref="K38">
    <cfRule type="containsText" dxfId="90" priority="76" operator="containsText" text="MISSING MARK">
      <formula>NOT(ISERROR(SEARCH("MISSING MARK",K38)))</formula>
    </cfRule>
    <cfRule type="containsText" dxfId="89" priority="97" operator="containsText" text="INVALID MARK">
      <formula>NOT(ISERROR(SEARCH("INVALID MARK",K38)))</formula>
    </cfRule>
    <cfRule type="cellIs" dxfId="88" priority="98" operator="lessThan">
      <formula>$D$12</formula>
    </cfRule>
    <cfRule type="cellIs" priority="99" operator="greaterThanOrEqual">
      <formula>$D$12</formula>
    </cfRule>
    <cfRule type="expression" dxfId="87" priority="100">
      <formula>"&gt;=$D$10"</formula>
    </cfRule>
  </conditionalFormatting>
  <conditionalFormatting sqref="J38">
    <cfRule type="cellIs" dxfId="86" priority="96" operator="lessThan">
      <formula>$D$10</formula>
    </cfRule>
  </conditionalFormatting>
  <conditionalFormatting sqref="G38">
    <cfRule type="containsText" dxfId="85" priority="94" operator="containsText" text="WRITE SUPP">
      <formula>NOT(ISERROR(SEARCH("WRITE SUPP",G38)))</formula>
    </cfRule>
  </conditionalFormatting>
  <conditionalFormatting sqref="N38">
    <cfRule type="containsText" dxfId="84" priority="91" operator="containsText" text="INVALID MARK">
      <formula>NOT(ISERROR(SEARCH("INVALID MARK",N38)))</formula>
    </cfRule>
    <cfRule type="containsText" dxfId="83" priority="92" operator="containsText" text="INVALID ENTRY">
      <formula>NOT(ISERROR(SEARCH("INVALID ENTRY",N38)))</formula>
    </cfRule>
    <cfRule type="containsText" dxfId="82" priority="93" operator="containsText" text="MISSING MARK">
      <formula>NOT(ISERROR(SEARCH("MISSING MARK",N38)))</formula>
    </cfRule>
  </conditionalFormatting>
  <conditionalFormatting sqref="H38">
    <cfRule type="containsText" dxfId="81" priority="90" operator="containsText" text="FAIL">
      <formula>NOT(ISERROR(SEARCH("FAIL",H38)))</formula>
    </cfRule>
  </conditionalFormatting>
  <conditionalFormatting sqref="O38">
    <cfRule type="containsText" dxfId="80" priority="83" operator="containsText" text="INVALID MARK">
      <formula>NOT(ISERROR(SEARCH("INVALID MARK",O38)))</formula>
    </cfRule>
    <cfRule type="containsText" dxfId="79" priority="84" operator="containsText" text="INVALID ENTRY">
      <formula>NOT(ISERROR(SEARCH("INVALID ENTRY",O38)))</formula>
    </cfRule>
    <cfRule type="containsText" dxfId="78" priority="85" operator="containsText" text="MISSING MARK">
      <formula>NOT(ISERROR(SEARCH("MISSING MARK",O38)))</formula>
    </cfRule>
  </conditionalFormatting>
  <conditionalFormatting sqref="P38">
    <cfRule type="containsText" dxfId="77" priority="80" operator="containsText" text="INVALID MARK">
      <formula>NOT(ISERROR(SEARCH("INVALID MARK",P38)))</formula>
    </cfRule>
    <cfRule type="containsText" dxfId="76" priority="81" operator="containsText" text="INVALID ENTRY">
      <formula>NOT(ISERROR(SEARCH("INVALID ENTRY",P38)))</formula>
    </cfRule>
    <cfRule type="containsText" dxfId="75" priority="82" operator="containsText" text="MISSING MARK">
      <formula>NOT(ISERROR(SEARCH("MISSING MARK",P38)))</formula>
    </cfRule>
  </conditionalFormatting>
  <conditionalFormatting sqref="Q38">
    <cfRule type="containsText" dxfId="74" priority="77" operator="containsText" text="INVALID MARK">
      <formula>NOT(ISERROR(SEARCH("INVALID MARK",Q38)))</formula>
    </cfRule>
    <cfRule type="containsText" dxfId="73" priority="78" operator="containsText" text="INVALID ENTRY">
      <formula>NOT(ISERROR(SEARCH("INVALID ENTRY",Q38)))</formula>
    </cfRule>
    <cfRule type="containsText" dxfId="72" priority="79" operator="containsText" text="MISSING MARK">
      <formula>NOT(ISERROR(SEARCH("MISSING MARK",Q38)))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Test">
                <anchor moveWithCells="1" sizeWithCells="1">
                  <from>
                    <xdr:col>19</xdr:col>
                    <xdr:colOff>266700</xdr:colOff>
                    <xdr:row>2</xdr:row>
                    <xdr:rowOff>95250</xdr:rowOff>
                  </from>
                  <to>
                    <xdr:col>20</xdr:col>
                    <xdr:colOff>361950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31" t="s">
        <v>76</v>
      </c>
      <c r="G4" s="131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IF(ISOVERMAX(L17:U17),"INVALID MARK",IF(COUNT(L17:U17)=COUNT(L$6:U$6),IFERROR(H17*K$6,),IF(COUNT(L17:U17)&lt;COUNT(L$6:U$6),"MISSING MARK","INVALID ENTRY")))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71" priority="231" operator="containsText" text="INVALID MARK">
      <formula>NOT(ISERROR(SEARCH("INVALID MARK",I7)))</formula>
    </cfRule>
    <cfRule type="containsText" dxfId="70" priority="232" operator="containsText" text="INVALID ENTRY">
      <formula>NOT(ISERROR(SEARCH("INVALID ENTRY",I7)))</formula>
    </cfRule>
    <cfRule type="containsText" dxfId="69" priority="233" operator="containsText" text="MISSING MARK">
      <formula>NOT(ISERROR(SEARCH("MISSING MARK",I7)))</formula>
    </cfRule>
  </conditionalFormatting>
  <conditionalFormatting sqref="D7">
    <cfRule type="containsText" dxfId="68" priority="61" operator="containsText" text="FAIL">
      <formula>NOT(ISERROR(SEARCH("FAIL",D7)))</formula>
    </cfRule>
    <cfRule type="containsText" dxfId="67" priority="62" operator="containsText" text="PASS">
      <formula>NOT(ISERROR(SEARCH("PASS",D7)))</formula>
    </cfRule>
  </conditionalFormatting>
  <conditionalFormatting sqref="D8:D10">
    <cfRule type="containsText" dxfId="66" priority="46" operator="containsText" text="FAIL">
      <formula>NOT(ISERROR(SEARCH("FAIL",D8)))</formula>
    </cfRule>
    <cfRule type="containsText" dxfId="65" priority="47" operator="containsText" text="PASS">
      <formula>NOT(ISERROR(SEARCH("PASS",D8)))</formula>
    </cfRule>
  </conditionalFormatting>
  <conditionalFormatting sqref="D11:D15">
    <cfRule type="containsText" dxfId="64" priority="41" operator="containsText" text="FAIL">
      <formula>NOT(ISERROR(SEARCH("FAIL",D11)))</formula>
    </cfRule>
    <cfRule type="containsText" dxfId="63" priority="42" operator="containsText" text="PASS">
      <formula>NOT(ISERROR(SEARCH("PASS",D11)))</formula>
    </cfRule>
  </conditionalFormatting>
  <conditionalFormatting sqref="D16">
    <cfRule type="containsText" dxfId="62" priority="36" operator="containsText" text="FAIL">
      <formula>NOT(ISERROR(SEARCH("FAIL",D16)))</formula>
    </cfRule>
    <cfRule type="containsText" dxfId="61" priority="37" operator="containsText" text="PASS">
      <formula>NOT(ISERROR(SEARCH("PASS",D16)))</formula>
    </cfRule>
  </conditionalFormatting>
  <conditionalFormatting sqref="D17">
    <cfRule type="containsText" dxfId="60" priority="16" operator="containsText" text="FAIL">
      <formula>NOT(ISERROR(SEARCH("FAIL",D17)))</formula>
    </cfRule>
    <cfRule type="containsText" dxfId="59" priority="1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428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IF(ISOVERMAX(L17:U17),"INVALID MARK",IF(COUNT(L17:U17)=COUNT(L$6:U$6),IFERROR(H17*K$6,),IF(COUNT(L17:U17)&lt;COUNT(L$6:U$6),"MISSING MARK","INVALID ENTRY")))</f>
        <v>18.499999999999996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</sheetData>
  <mergeCells count="1">
    <mergeCell ref="F4:G4"/>
  </mergeCells>
  <conditionalFormatting sqref="I7:I17">
    <cfRule type="containsText" dxfId="58" priority="53" operator="containsText" text="INVALID MARK">
      <formula>NOT(ISERROR(SEARCH("INVALID MARK",I7)))</formula>
    </cfRule>
    <cfRule type="containsText" dxfId="57" priority="54" operator="containsText" text="INVALID ENTRY">
      <formula>NOT(ISERROR(SEARCH("INVALID ENTRY",I7)))</formula>
    </cfRule>
    <cfRule type="containsText" dxfId="56" priority="55" operator="containsText" text="MISSING MARK">
      <formula>NOT(ISERROR(SEARCH("MISSING MARK",I7)))</formula>
    </cfRule>
  </conditionalFormatting>
  <conditionalFormatting sqref="D7">
    <cfRule type="containsText" dxfId="55" priority="51" operator="containsText" text="FAIL">
      <formula>NOT(ISERROR(SEARCH("FAIL",D7)))</formula>
    </cfRule>
    <cfRule type="containsText" dxfId="54" priority="52" operator="containsText" text="PASS">
      <formula>NOT(ISERROR(SEARCH("PASS",D7)))</formula>
    </cfRule>
  </conditionalFormatting>
  <conditionalFormatting sqref="D8:D10">
    <cfRule type="containsText" dxfId="53" priority="46" operator="containsText" text="FAIL">
      <formula>NOT(ISERROR(SEARCH("FAIL",D8)))</formula>
    </cfRule>
    <cfRule type="containsText" dxfId="52" priority="47" operator="containsText" text="PASS">
      <formula>NOT(ISERROR(SEARCH("PASS",D8)))</formula>
    </cfRule>
  </conditionalFormatting>
  <conditionalFormatting sqref="D11:D15">
    <cfRule type="containsText" dxfId="51" priority="41" operator="containsText" text="FAIL">
      <formula>NOT(ISERROR(SEARCH("FAIL",D11)))</formula>
    </cfRule>
    <cfRule type="containsText" dxfId="50" priority="42" operator="containsText" text="PASS">
      <formula>NOT(ISERROR(SEARCH("PASS",D11)))</formula>
    </cfRule>
  </conditionalFormatting>
  <conditionalFormatting sqref="D16">
    <cfRule type="containsText" dxfId="49" priority="36" operator="containsText" text="FAIL">
      <formula>NOT(ISERROR(SEARCH("FAIL",D16)))</formula>
    </cfRule>
    <cfRule type="containsText" dxfId="48" priority="37" operator="containsText" text="PASS">
      <formula>NOT(ISERROR(SEARCH("PASS",D16)))</formula>
    </cfRule>
  </conditionalFormatting>
  <conditionalFormatting sqref="D17">
    <cfRule type="containsText" dxfId="47" priority="16" operator="containsText" text="FAIL">
      <formula>NOT(ISERROR(SEARCH("FAIL",D17)))</formula>
    </cfRule>
    <cfRule type="containsText" dxfId="46" priority="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428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IF(ISOVERMAX(L17:U17),"INVALID MARK",IF(COUNT(L17:U17)=COUNT(L$6:U$6),IFERROR(H17*K$6,),IF(COUNT(L17:U17)&lt;COUNT(L$6:U$6),"MISSING MARK","INVALID ENTRY")))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</sheetData>
  <mergeCells count="1">
    <mergeCell ref="F4:G4"/>
  </mergeCells>
  <conditionalFormatting sqref="I7:I17">
    <cfRule type="containsText" dxfId="45" priority="53" operator="containsText" text="INVALID MARK">
      <formula>NOT(ISERROR(SEARCH("INVALID MARK",I7)))</formula>
    </cfRule>
    <cfRule type="containsText" dxfId="44" priority="54" operator="containsText" text="INVALID ENTRY">
      <formula>NOT(ISERROR(SEARCH("INVALID ENTRY",I7)))</formula>
    </cfRule>
    <cfRule type="containsText" dxfId="43" priority="55" operator="containsText" text="MISSING MARK">
      <formula>NOT(ISERROR(SEARCH("MISSING MARK",I7)))</formula>
    </cfRule>
  </conditionalFormatting>
  <conditionalFormatting sqref="D7">
    <cfRule type="containsText" dxfId="42" priority="51" operator="containsText" text="FAIL">
      <formula>NOT(ISERROR(SEARCH("FAIL",D7)))</formula>
    </cfRule>
    <cfRule type="containsText" dxfId="41" priority="52" operator="containsText" text="PASS">
      <formula>NOT(ISERROR(SEARCH("PASS",D7)))</formula>
    </cfRule>
  </conditionalFormatting>
  <conditionalFormatting sqref="D8:D10">
    <cfRule type="containsText" dxfId="40" priority="46" operator="containsText" text="FAIL">
      <formula>NOT(ISERROR(SEARCH("FAIL",D8)))</formula>
    </cfRule>
    <cfRule type="containsText" dxfId="39" priority="47" operator="containsText" text="PASS">
      <formula>NOT(ISERROR(SEARCH("PASS",D8)))</formula>
    </cfRule>
  </conditionalFormatting>
  <conditionalFormatting sqref="D11:D15">
    <cfRule type="containsText" dxfId="38" priority="41" operator="containsText" text="FAIL">
      <formula>NOT(ISERROR(SEARCH("FAIL",D11)))</formula>
    </cfRule>
    <cfRule type="containsText" dxfId="37" priority="42" operator="containsText" text="PASS">
      <formula>NOT(ISERROR(SEARCH("PASS",D11)))</formula>
    </cfRule>
  </conditionalFormatting>
  <conditionalFormatting sqref="D16">
    <cfRule type="containsText" dxfId="36" priority="36" operator="containsText" text="FAIL">
      <formula>NOT(ISERROR(SEARCH("FAIL",D16)))</formula>
    </cfRule>
    <cfRule type="containsText" dxfId="35" priority="37" operator="containsText" text="PASS">
      <formula>NOT(ISERROR(SEARCH("PASS",D16)))</formula>
    </cfRule>
  </conditionalFormatting>
  <conditionalFormatting sqref="D17">
    <cfRule type="containsText" dxfId="34" priority="16" operator="containsText" text="FAIL">
      <formula>NOT(ISERROR(SEARCH("FAIL",D17)))</formula>
    </cfRule>
    <cfRule type="containsText" dxfId="33" priority="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428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IF(ISOVERMAX(L17:U17),"INVALID MARK",IF(COUNT(L17:U17)=COUNT(L$6:U$6),IFERROR(H17*K$6,),IF(COUNT(L17:U17)&lt;COUNT(L$6:U$6),"MISSING MARK","INVALID ENTRY")))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</sheetData>
  <mergeCells count="1">
    <mergeCell ref="F4:G4"/>
  </mergeCells>
  <conditionalFormatting sqref="I7:I17">
    <cfRule type="containsText" dxfId="32" priority="53" operator="containsText" text="INVALID MARK">
      <formula>NOT(ISERROR(SEARCH("INVALID MARK",I7)))</formula>
    </cfRule>
    <cfRule type="containsText" dxfId="31" priority="54" operator="containsText" text="INVALID ENTRY">
      <formula>NOT(ISERROR(SEARCH("INVALID ENTRY",I7)))</formula>
    </cfRule>
    <cfRule type="containsText" dxfId="30" priority="55" operator="containsText" text="MISSING MARK">
      <formula>NOT(ISERROR(SEARCH("MISSING MARK",I7)))</formula>
    </cfRule>
  </conditionalFormatting>
  <conditionalFormatting sqref="D7">
    <cfRule type="containsText" dxfId="29" priority="51" operator="containsText" text="FAIL">
      <formula>NOT(ISERROR(SEARCH("FAIL",D7)))</formula>
    </cfRule>
    <cfRule type="containsText" dxfId="28" priority="52" operator="containsText" text="PASS">
      <formula>NOT(ISERROR(SEARCH("PASS",D7)))</formula>
    </cfRule>
  </conditionalFormatting>
  <conditionalFormatting sqref="D8:D10">
    <cfRule type="containsText" dxfId="27" priority="46" operator="containsText" text="FAIL">
      <formula>NOT(ISERROR(SEARCH("FAIL",D8)))</formula>
    </cfRule>
    <cfRule type="containsText" dxfId="26" priority="47" operator="containsText" text="PASS">
      <formula>NOT(ISERROR(SEARCH("PASS",D8)))</formula>
    </cfRule>
  </conditionalFormatting>
  <conditionalFormatting sqref="D11:D15">
    <cfRule type="containsText" dxfId="25" priority="41" operator="containsText" text="FAIL">
      <formula>NOT(ISERROR(SEARCH("FAIL",D11)))</formula>
    </cfRule>
    <cfRule type="containsText" dxfId="24" priority="42" operator="containsText" text="PASS">
      <formula>NOT(ISERROR(SEARCH("PASS",D11)))</formula>
    </cfRule>
  </conditionalFormatting>
  <conditionalFormatting sqref="D16">
    <cfRule type="containsText" dxfId="23" priority="36" operator="containsText" text="FAIL">
      <formula>NOT(ISERROR(SEARCH("FAIL",D16)))</formula>
    </cfRule>
    <cfRule type="containsText" dxfId="22" priority="37" operator="containsText" text="PASS">
      <formula>NOT(ISERROR(SEARCH("PASS",D16)))</formula>
    </cfRule>
  </conditionalFormatting>
  <conditionalFormatting sqref="D17">
    <cfRule type="containsText" dxfId="21" priority="16" operator="containsText" text="FAIL">
      <formula>NOT(ISERROR(SEARCH("FAIL",D17)))</formula>
    </cfRule>
    <cfRule type="containsText" dxfId="20" priority="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31"/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56</v>
      </c>
      <c r="M5" s="87" t="s">
        <v>57</v>
      </c>
      <c r="N5" s="87" t="s">
        <v>58</v>
      </c>
      <c r="O5" s="87" t="s">
        <v>59</v>
      </c>
      <c r="P5" s="87" t="s">
        <v>60</v>
      </c>
      <c r="Q5" s="87" t="s">
        <v>61</v>
      </c>
      <c r="R5" s="87" t="s">
        <v>62</v>
      </c>
      <c r="S5" s="87" t="s">
        <v>63</v>
      </c>
      <c r="T5" s="87" t="s">
        <v>64</v>
      </c>
      <c r="U5" s="87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0.69</v>
      </c>
      <c r="I17" s="20">
        <f>IF(ISOVERMAX(L17:U17),"INVALID MARK", IF(COUNT(L17:U17)=COUNT(L$6:U$6), IFERROR(H17*K$6,), IF(COUNT(L17:U17)&lt;COUNT(L$6:U$6),"MISSING MARK","INVALID ENTRY")))</f>
        <v>69</v>
      </c>
      <c r="J17" s="28">
        <v>0</v>
      </c>
      <c r="K17" s="24">
        <f t="shared" ref="K17" si="12">SUM(L17:O17)</f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9" priority="300" operator="containsText" text="INVALID MARK">
      <formula>NOT(ISERROR(SEARCH("INVALID MARK",I7)))</formula>
    </cfRule>
    <cfRule type="containsText" dxfId="18" priority="301" operator="containsText" text="INVALID ENTRY">
      <formula>NOT(ISERROR(SEARCH("INVALID ENTRY",I7)))</formula>
    </cfRule>
    <cfRule type="containsText" dxfId="17" priority="302" operator="containsText" text="MISSING MARK">
      <formula>NOT(ISERROR(SEARCH("MISSING MARK",I7)))</formula>
    </cfRule>
  </conditionalFormatting>
  <conditionalFormatting sqref="D7">
    <cfRule type="containsText" dxfId="16" priority="73" operator="containsText" text="FAIL">
      <formula>NOT(ISERROR(SEARCH("FAIL",D7)))</formula>
    </cfRule>
    <cfRule type="containsText" dxfId="15" priority="74" operator="containsText" text="PASS">
      <formula>NOT(ISERROR(SEARCH("PASS",D7)))</formula>
    </cfRule>
  </conditionalFormatting>
  <conditionalFormatting sqref="D8:D10">
    <cfRule type="containsText" dxfId="14" priority="55" operator="containsText" text="FAIL">
      <formula>NOT(ISERROR(SEARCH("FAIL",D8)))</formula>
    </cfRule>
    <cfRule type="containsText" dxfId="13" priority="56" operator="containsText" text="PASS">
      <formula>NOT(ISERROR(SEARCH("PASS",D8)))</formula>
    </cfRule>
  </conditionalFormatting>
  <conditionalFormatting sqref="H7:H16">
    <cfRule type="containsText" dxfId="12" priority="51" operator="containsText" text="INVALID MARK">
      <formula>NOT(ISERROR(SEARCH("INVALID MARK",H7)))</formula>
    </cfRule>
  </conditionalFormatting>
  <conditionalFormatting sqref="D11:D15">
    <cfRule type="containsText" dxfId="11" priority="49" operator="containsText" text="FAIL">
      <formula>NOT(ISERROR(SEARCH("FAIL",D11)))</formula>
    </cfRule>
    <cfRule type="containsText" dxfId="10" priority="50" operator="containsText" text="PASS">
      <formula>NOT(ISERROR(SEARCH("PASS",D11)))</formula>
    </cfRule>
  </conditionalFormatting>
  <conditionalFormatting sqref="D16">
    <cfRule type="containsText" dxfId="9" priority="43" operator="containsText" text="FAIL">
      <formula>NOT(ISERROR(SEARCH("FAIL",D16)))</formula>
    </cfRule>
    <cfRule type="containsText" dxfId="8" priority="44" operator="containsText" text="PASS">
      <formula>NOT(ISERROR(SEARCH("PASS",D16)))</formula>
    </cfRule>
  </conditionalFormatting>
  <conditionalFormatting sqref="H17">
    <cfRule type="containsText" dxfId="7" priority="24" operator="containsText" text="INVALID MARK">
      <formula>NOT(ISERROR(SEARCH("INVALID MARK",H17)))</formula>
    </cfRule>
  </conditionalFormatting>
  <conditionalFormatting sqref="D17">
    <cfRule type="containsText" dxfId="6" priority="19" operator="containsText" text="FAIL">
      <formula>NOT(ISERROR(SEARCH("FAIL",D17)))</formula>
    </cfRule>
    <cfRule type="containsText" dxfId="5" priority="20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2020-09-21T10:30:00Z</dcterms:modified>
</cp:coreProperties>
</file>