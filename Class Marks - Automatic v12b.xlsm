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17" i="56" l="1"/>
  <c r="I28" i="1"/>
  <c r="I29" i="1"/>
  <c r="I37" i="1"/>
  <c r="I33" i="1"/>
  <c r="I35" i="1"/>
  <c r="I30" i="1"/>
  <c r="I31" i="1"/>
  <c r="I34" i="1"/>
  <c r="I36" i="1"/>
  <c r="I32" i="1"/>
  <c r="I7" i="52"/>
  <c r="I15" i="52"/>
  <c r="I8" i="52"/>
  <c r="I16" i="52"/>
  <c r="I11" i="52"/>
  <c r="I12" i="52"/>
  <c r="I13" i="52"/>
  <c r="I14" i="52"/>
  <c r="I9" i="52"/>
  <c r="I10" i="52"/>
  <c r="I8" i="58"/>
  <c r="I9" i="58"/>
  <c r="I13" i="58"/>
  <c r="I7" i="58"/>
  <c r="I10" i="58"/>
  <c r="I12" i="58"/>
  <c r="I14" i="58"/>
  <c r="I15" i="58"/>
  <c r="I11" i="58"/>
  <c r="I16" i="58"/>
  <c r="I7" i="56"/>
  <c r="I15" i="56"/>
  <c r="I8" i="56"/>
  <c r="I16" i="56"/>
  <c r="I12" i="56"/>
  <c r="I9" i="56"/>
  <c r="I13" i="56"/>
  <c r="I10" i="56"/>
  <c r="I11" i="56"/>
  <c r="I14" i="56"/>
  <c r="I7" i="55"/>
  <c r="I15" i="55"/>
  <c r="I8" i="55"/>
  <c r="I16" i="55"/>
  <c r="I9" i="55"/>
  <c r="I14" i="55"/>
  <c r="I10" i="55"/>
  <c r="I13" i="55"/>
  <c r="I11" i="55"/>
  <c r="I12" i="55"/>
  <c r="I7" i="54"/>
  <c r="I15" i="54"/>
  <c r="I12" i="54"/>
  <c r="I8" i="54"/>
  <c r="I16" i="54"/>
  <c r="I14" i="54"/>
  <c r="I9" i="54"/>
  <c r="I13" i="54"/>
  <c r="I10" i="54"/>
  <c r="I11" i="54"/>
  <c r="I38" i="1"/>
  <c r="M6" i="1" l="1"/>
  <c r="M4" i="1"/>
  <c r="M5" i="1"/>
  <c r="M7" i="1"/>
  <c r="M12" i="1"/>
  <c r="M8" i="1"/>
  <c r="M9" i="1"/>
  <c r="M13" i="1"/>
  <c r="M10" i="1"/>
  <c r="M11" i="1"/>
  <c r="G3" i="52"/>
  <c r="K6" i="52" l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2" i="1" l="1"/>
  <c r="M29" i="1"/>
  <c r="M28" i="1"/>
  <c r="M34" i="1"/>
  <c r="M31" i="1"/>
  <c r="M30" i="1"/>
  <c r="M33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O36" i="1"/>
  <c r="Q35" i="1"/>
  <c r="O37" i="1"/>
  <c r="Q37" i="1"/>
  <c r="Q36" i="1"/>
  <c r="O35" i="1"/>
  <c r="P35" i="1"/>
  <c r="P37" i="1"/>
  <c r="I17" i="58"/>
  <c r="Q38" i="1"/>
  <c r="I17" i="55"/>
  <c r="O38" i="1"/>
  <c r="P38" i="1"/>
  <c r="N35" i="1"/>
  <c r="M35" i="1" s="1"/>
  <c r="L35" i="1" s="1"/>
  <c r="N36" i="1"/>
  <c r="M36" i="1"/>
  <c r="L36" i="1" s="1"/>
  <c r="N37" i="1"/>
  <c r="M37" i="1"/>
  <c r="L37" i="1" s="1"/>
  <c r="I17" i="54"/>
  <c r="N38" i="1"/>
  <c r="M38" i="1" s="1"/>
  <c r="L38" i="1" s="1"/>
  <c r="K36" i="1"/>
  <c r="I17" i="52"/>
  <c r="J36" i="1" l="1"/>
  <c r="H36" i="1" s="1"/>
  <c r="K38" i="1"/>
  <c r="J38" i="1" l="1"/>
  <c r="G38" i="1" s="1"/>
  <c r="H38" i="1"/>
  <c r="G36" i="1"/>
  <c r="K37" i="1"/>
  <c r="J37" i="1" l="1"/>
  <c r="G37" i="1" s="1"/>
  <c r="H37" i="1"/>
  <c r="K35" i="1"/>
  <c r="J35" i="1" l="1"/>
  <c r="H35" i="1" s="1"/>
  <c r="G35" i="1" l="1"/>
  <c r="M16" i="1" s="1"/>
  <c r="M15" i="1"/>
  <c r="M14" i="1"/>
  <c r="M17" i="1"/>
  <c r="M18" i="1"/>
  <c r="M19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<sst xmlns="http://schemas.openxmlformats.org/spreadsheetml/2006/main" count="201" uniqueCount="105">
  <si>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</si>
  <si>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</si>
  <si>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</si>
  <si>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</si>
  <si>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</si>
  <si>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</si>
  <si>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</si>
  <si>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</si>
  <si>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</si>
  <si>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</si>
  <si>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</si>
  <si>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</si>
  <si>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</si>
  <si>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</si>
  <si>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</si>
  <si>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</si>
  <si>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</si>
  <si>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</si>
  <si>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</si>
  <si>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</si>
  <si>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</si>
  <si>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</si>
  <si>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</si>
  <si>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</si>
  <si>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</si>
  <si>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</si>
  <si>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</si>
  <si>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</si>
  <si>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</si>
  <si>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</si>
  <si>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</si>
  <si>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</si>
  <si>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</si>
  <si>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</si>
  <si>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</si>
  <si>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</si>
  <si>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</si>
  <si>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</si>
  <si>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</si>
  <si>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</si>
  <si>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</si>
  <si>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</si>
  <si>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</si>
  <si>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</si>
  <si>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</si>
  <si>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</si>
  <si>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</si>
  <si>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</si>
  <si>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</si>
  <si>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</si>
  <si>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</si>
  <si>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</si>
  <si>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</si>
  <si>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</si>
  <si>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</si>
  <si>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</si>
  <si>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</si>
  <si>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</si>
  <si>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</si>
  <si>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</si>
  <si>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</si>
  <si>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</si>
  <si>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</si>
  <si>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</si>
  <si>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</si>
  <si>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</si>
  <si>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</si>
  <si>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</si>
  <si>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</si>
  <si>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</si>
  <si>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</si>
  <si>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</si>
  <si>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</si>
  <si>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</si>
  <si>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</si>
  <si>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</si>
  <si>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</si>
  <si>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</si>
  <si>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</si>
  <si>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</si>
  <si>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</si>
  <si>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</si>
  <si>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</si>
  <si>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</si>
  <si>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</si>
  <si>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</si>
  <si>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</si>
  <si>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</si>
  <si>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</si>
  <si>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</si>
  <si>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</si>
  <si>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</si>
  <si>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</si>
  <si>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</si>
  <si>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</si>
  <si>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</si>
  <si>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</si>
  <si>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</si>
  <si>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</si>
  <si>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</si>
  <si>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</si>
  <si>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</si>
  <si>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</si>
  <si>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</si>
  <si>
    <t>To rename a test, right click on its tab at the bottom of the screen and click "Rename"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</si>
</sst>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 wrapText="1"/>
    </xf>
    <xf numFmtId="0" fontId="2" fillId="13" borderId="22" xfId="2" applyFont="1" applyFill="1" applyBorder="1" applyAlignment="1">
      <alignment horizontal="center" vertical="center" wrapText="1"/>
    </xf>
    <xf numFmtId="0" fontId="2" fillId="13" borderId="23" xfId="2" applyFont="1" applyFill="1" applyBorder="1" applyAlignment="1">
      <alignment horizontal="center" vertical="center" wrapText="1"/>
    </xf>
    <xf numFmtId="0" fontId="2" fillId="13" borderId="24" xfId="2" applyFont="1" applyFill="1" applyBorder="1" applyAlignment="1">
      <alignment horizontal="center" vertical="center" wrapText="1"/>
    </xf>
    <xf numFmtId="0" fontId="2" fillId="13" borderId="17" xfId="2" applyFont="1" applyFill="1" applyBorder="1" applyAlignment="1">
      <alignment horizontal="center" vertical="center" wrapText="1"/>
    </xf>
    <xf numFmtId="0" fontId="2" fillId="13" borderId="25" xfId="2" applyFont="1" applyFill="1" applyBorder="1" applyAlignment="1">
      <alignment horizontal="center" vertical="center" wrapText="1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J20" sqref="J20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9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104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103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>COUNTIF(I$28:I$38, "="&amp;L6)</f>
        <v>2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16" t="s">
        <v>67</v>
      </c>
      <c r="G10" s="117"/>
      <c r="H10" s="117"/>
      <c r="I10" s="118"/>
      <c r="J10" s="35"/>
      <c r="K10" s="56" t="s">
        <v>22</v>
      </c>
      <c r="L10" s="50" t="s">
        <v>32</v>
      </c>
      <c r="M10" s="59">
        <f>COUNTIF(I$28:I$38, "="&amp;L10)</f>
        <v>0</v>
      </c>
    </row>
    <row r="11" spans="3:13" x14ac:dyDescent="0.25">
      <c r="C11" s="42" t="s">
        <v>46</v>
      </c>
      <c r="D11" s="43">
        <v>0.4</v>
      </c>
      <c r="F11" s="107" t="s">
        <v>68</v>
      </c>
      <c r="G11" s="108"/>
      <c r="H11" s="108"/>
      <c r="I11" s="109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07" t="s">
        <v>70</v>
      </c>
      <c r="G12" s="108"/>
      <c r="H12" s="108"/>
      <c r="I12" s="109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04" t="s">
        <v>69</v>
      </c>
      <c r="G13" s="105"/>
      <c r="H13" s="105"/>
      <c r="I13" s="106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20" t="s">
        <v>28</v>
      </c>
      <c r="L14" s="121"/>
      <c r="M14" s="60">
        <f>COUNTIF(H28:H38, "=FAIL")</f>
        <v>3</v>
      </c>
    </row>
    <row r="15" spans="3:13" x14ac:dyDescent="0.25">
      <c r="J15" s="35"/>
      <c r="K15" s="122" t="s">
        <v>27</v>
      </c>
      <c r="L15" s="123"/>
      <c r="M15" s="59">
        <f>COUNTIF(H28:H38, "=PASS")</f>
        <v>8</v>
      </c>
    </row>
    <row r="16" spans="3:13" x14ac:dyDescent="0.25">
      <c r="J16" s="35"/>
      <c r="K16" s="122" t="s">
        <v>39</v>
      </c>
      <c r="L16" s="123"/>
      <c r="M16" s="59">
        <f>COUNTIF(G28:G38, "=WRITE SUPP")</f>
        <v>2</v>
      </c>
    </row>
    <row r="17" spans="1:17" x14ac:dyDescent="0.25">
      <c r="J17" s="35"/>
      <c r="K17" s="122" t="s">
        <v>40</v>
      </c>
      <c r="L17" s="123"/>
      <c r="M17" s="61">
        <f>MAX(J28:J38)-MIN(J28:J38)</f>
        <v>0.48981818181818176</v>
      </c>
    </row>
    <row r="18" spans="1:17" x14ac:dyDescent="0.25">
      <c r="J18" s="35"/>
      <c r="K18" s="122" t="s">
        <v>41</v>
      </c>
      <c r="L18" s="123"/>
      <c r="M18" s="61">
        <f>AVERAGE(J28:J38)</f>
        <v>0.6249421487603305</v>
      </c>
    </row>
    <row r="19" spans="1:17" ht="15.75" thickBot="1" x14ac:dyDescent="0.3">
      <c r="J19" s="35"/>
      <c r="K19" s="124" t="s">
        <v>42</v>
      </c>
      <c r="L19" s="125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75</v>
      </c>
      <c r="E28" s="96" t="s">
        <v>88</v>
      </c>
      <c r="F28" s="88" t="s">
        <v>77</v>
      </c>
      <c r="G28" s="74" t="str">
        <f t="shared" ref="G28:G38" si="1">IF(AND(K28&gt;=D$13, J28&gt;=D$11), IF(OR(K28&lt;D$12, J28&lt;D$10), "WRITE SUPP", "NO SUPP"), "NO SUPP")</f>
        <v>NO SUPP</v>
      </c>
      <c r="H28" s="74" t="str">
        <f t="shared" ref="H28:H38" si="2">IF(K28&gt;=D$12, IF(J28&gt;=D$10, "PASS", "FAIL"), "FAIL")</f>
        <v>PASS</v>
      </c>
      <c r="I28" s="74" t="str">
        <f t="shared" ref="I28:I37" si="3"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78</v>
      </c>
      <c r="E29" s="96" t="s">
        <v>76</v>
      </c>
      <c r="F29" s="88" t="s">
        <v>80</v>
      </c>
      <c r="G29" s="74" t="str">
        <f t="shared" si="1"/>
        <v>NO SUPP</v>
      </c>
      <c r="H29" s="74" t="str">
        <f t="shared" si="2"/>
        <v>PASS</v>
      </c>
      <c r="I29" s="74" t="str">
        <f t="shared" si="3"/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79</v>
      </c>
      <c r="E30" s="101" t="s">
        <v>83</v>
      </c>
      <c r="F30" s="88" t="s">
        <v>81</v>
      </c>
      <c r="G30" s="74" t="str">
        <f t="shared" si="1"/>
        <v>NO SUPP</v>
      </c>
      <c r="H30" s="74" t="str">
        <f t="shared" si="2"/>
        <v>FAIL</v>
      </c>
      <c r="I30" s="74" t="str">
        <f t="shared" si="3"/>
        <v>F</v>
      </c>
      <c r="J30" s="89">
        <f t="shared" si="4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0.35909090909090907</v>
      </c>
      <c r="M30" s="74">
        <f>SUM(N30:Q30)</f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84</v>
      </c>
      <c r="E31" s="73" t="s">
        <v>85</v>
      </c>
      <c r="F31" s="88" t="s">
        <v>82</v>
      </c>
      <c r="G31" s="74" t="str">
        <f t="shared" si="1"/>
        <v>NO SUPP</v>
      </c>
      <c r="H31" s="74" t="str">
        <f t="shared" si="2"/>
        <v>PASS</v>
      </c>
      <c r="I31" s="74" t="str">
        <f t="shared" si="3"/>
        <v>C+</v>
      </c>
      <c r="J31" s="89">
        <f t="shared" si="4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0.57272727272727275</v>
      </c>
      <c r="M31" s="74">
        <f>SUM(N31:Q31)</f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87</v>
      </c>
      <c r="E32" s="73" t="s">
        <v>86</v>
      </c>
      <c r="F32" s="88" t="s">
        <v>89</v>
      </c>
      <c r="G32" s="74" t="str">
        <f t="shared" si="1"/>
        <v>WRITE SUPP</v>
      </c>
      <c r="H32" s="74" t="str">
        <f t="shared" si="2"/>
        <v>FAIL</v>
      </c>
      <c r="I32" s="74" t="str">
        <f t="shared" si="3"/>
        <v>C+</v>
      </c>
      <c r="J32" s="89">
        <f t="shared" si="4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0.70909090909090911</v>
      </c>
      <c r="M32" s="74">
        <f>SUM(N32:Q32)</f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91</v>
      </c>
      <c r="E33" s="73" t="s">
        <v>90</v>
      </c>
      <c r="F33" s="88" t="s">
        <v>92</v>
      </c>
      <c r="G33" s="74" t="str">
        <f t="shared" si="1"/>
        <v>WRITE SUPP</v>
      </c>
      <c r="H33" s="74" t="str">
        <f t="shared" si="2"/>
        <v>FAIL</v>
      </c>
      <c r="I33" s="74" t="str">
        <f t="shared" si="3"/>
        <v>C-</v>
      </c>
      <c r="J33" s="89">
        <f t="shared" si="4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0.38636363636363635</v>
      </c>
      <c r="M33" s="74">
        <f>SUM(N33:Q33)</f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94</v>
      </c>
      <c r="E34" s="73" t="s">
        <v>93</v>
      </c>
      <c r="F34" s="88" t="s">
        <v>96</v>
      </c>
      <c r="G34" s="74" t="str">
        <f t="shared" si="1"/>
        <v>NO SUPP</v>
      </c>
      <c r="H34" s="74" t="str">
        <f t="shared" si="2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>SUM(N34:Q34)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94</v>
      </c>
      <c r="E35" s="73" t="s">
        <v>98</v>
      </c>
      <c r="F35" s="88" t="s">
        <v>97</v>
      </c>
      <c r="G35" s="74" t="str">
        <f t="shared" si="1"/>
        <v>NO SUPP</v>
      </c>
      <c r="H35" s="74" t="str">
        <f t="shared" si="2"/>
        <v>PASS</v>
      </c>
      <c r="I35" s="74" t="str">
        <f t="shared" si="3"/>
        <v>B-</v>
      </c>
      <c r="J35" s="89">
        <f t="shared" si="4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0.56818181818181823</v>
      </c>
      <c r="M35" s="74">
        <f>SUM(N35:Q35)</f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94</v>
      </c>
      <c r="E36" s="73" t="s">
        <v>95</v>
      </c>
      <c r="F36" s="88" t="s">
        <v>99</v>
      </c>
      <c r="G36" s="74" t="str">
        <f t="shared" si="1"/>
        <v>NO SUPP</v>
      </c>
      <c r="H36" s="74" t="str">
        <f t="shared" si="2"/>
        <v>PASS</v>
      </c>
      <c r="I36" s="74" t="str">
        <f t="shared" si="3"/>
        <v>B</v>
      </c>
      <c r="J36" s="89">
        <f t="shared" si="4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0.61818181818181817</v>
      </c>
      <c r="M36" s="74">
        <f>SUM(N36:Q36)</f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95</v>
      </c>
      <c r="F37" s="88"/>
      <c r="G37" s="74" t="str">
        <f t="shared" si="1"/>
        <v>NO SUPP</v>
      </c>
      <c r="H37" s="74" t="str">
        <f t="shared" si="2"/>
        <v>PASS</v>
      </c>
      <c r="I37" s="74" t="str">
        <f t="shared" si="3"/>
        <v>B+</v>
      </c>
      <c r="J37" s="89">
        <f t="shared" si="4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0.72272727272727277</v>
      </c>
      <c r="M37" s="74">
        <f>SUM(N37:Q37)</f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101</v>
      </c>
      <c r="E38" s="73" t="s">
        <v>100</v>
      </c>
      <c r="F38" s="88" t="s">
        <v>102</v>
      </c>
      <c r="G38" s="74" t="str">
        <f t="shared" si="1"/>
        <v>NO SUPP</v>
      </c>
      <c r="H38" s="74" t="str">
        <f t="shared" si="2"/>
        <v>PASS</v>
      </c>
      <c r="I38" s="74" t="str">
        <f>STUDENT_GRADE(J38,K$4:K$13,L$4:L$13)</f>
        <v>B+</v>
      </c>
      <c r="J38" s="89">
        <f t="shared" si="4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0.58636363636363631</v>
      </c>
      <c r="M38" s="74">
        <f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4:L14"/>
    <mergeCell ref="K15:L15"/>
    <mergeCell ref="K16:L16"/>
    <mergeCell ref="K17:L17"/>
    <mergeCell ref="K18:L18"/>
    <mergeCell ref="K19:L19"/>
    <mergeCell ref="F8:I8"/>
    <mergeCell ref="F7:I7"/>
    <mergeCell ref="F3:I6"/>
    <mergeCell ref="F13:I13"/>
    <mergeCell ref="F12:I12"/>
    <mergeCell ref="F11:I11"/>
    <mergeCell ref="F10:I10"/>
  </mergeCells>
  <conditionalFormatting sqref="G28">
    <cfRule type="containsText" dxfId="153" priority="8655" operator="containsText" text="WRITE SUPP">
      <formula>NOT(ISERROR(SEARCH("WRITE SUPP",G28)))</formula>
    </cfRule>
  </conditionalFormatting>
  <conditionalFormatting sqref="N28:N38">
    <cfRule type="containsText" dxfId="152" priority="8652" operator="containsText" text="INVALID MARK">
      <formula>NOT(ISERROR(SEARCH("INVALID MARK",N28)))</formula>
    </cfRule>
    <cfRule type="containsText" dxfId="151" priority="8653" operator="containsText" text="INVALID ENTRY">
      <formula>NOT(ISERROR(SEARCH("INVALID ENTRY",N28)))</formula>
    </cfRule>
    <cfRule type="containsText" dxfId="150" priority="8654" operator="containsText" text="MISSING MARK">
      <formula>NOT(ISERROR(SEARCH("MISSING MARK",N28)))</formula>
    </cfRule>
  </conditionalFormatting>
  <conditionalFormatting sqref="H28">
    <cfRule type="containsText" dxfId="149" priority="8650" operator="containsText" text="FAIL">
      <formula>NOT(ISERROR(SEARCH("FAIL",H28)))</formula>
    </cfRule>
  </conditionalFormatting>
  <conditionalFormatting sqref="G29:G31">
    <cfRule type="containsText" dxfId="148" priority="5214" operator="containsText" text="WRITE SUPP">
      <formula>NOT(ISERROR(SEARCH("WRITE SUPP",G29)))</formula>
    </cfRule>
  </conditionalFormatting>
  <conditionalFormatting sqref="H29:H31">
    <cfRule type="containsText" dxfId="147" priority="5209" operator="containsText" text="FAIL">
      <formula>NOT(ISERROR(SEARCH("FAIL",H29)))</formula>
    </cfRule>
  </conditionalFormatting>
  <conditionalFormatting sqref="O28">
    <cfRule type="containsText" dxfId="146" priority="5202" operator="containsText" text="INVALID MARK">
      <formula>NOT(ISERROR(SEARCH("INVALID MARK",O28)))</formula>
    </cfRule>
    <cfRule type="containsText" dxfId="145" priority="5203" operator="containsText" text="INVALID ENTRY">
      <formula>NOT(ISERROR(SEARCH("INVALID ENTRY",O28)))</formula>
    </cfRule>
    <cfRule type="containsText" dxfId="144" priority="5204" operator="containsText" text="MISSING MARK">
      <formula>NOT(ISERROR(SEARCH("MISSING MARK",O28)))</formula>
    </cfRule>
  </conditionalFormatting>
  <conditionalFormatting sqref="O29:O31">
    <cfRule type="containsText" dxfId="143" priority="5199" operator="containsText" text="INVALID MARK">
      <formula>NOT(ISERROR(SEARCH("INVALID MARK",O29)))</formula>
    </cfRule>
    <cfRule type="containsText" dxfId="142" priority="5200" operator="containsText" text="INVALID ENTRY">
      <formula>NOT(ISERROR(SEARCH("INVALID ENTRY",O29)))</formula>
    </cfRule>
    <cfRule type="containsText" dxfId="141" priority="5201" operator="containsText" text="MISSING MARK">
      <formula>NOT(ISERROR(SEARCH("MISSING MARK",O29)))</formula>
    </cfRule>
  </conditionalFormatting>
  <conditionalFormatting sqref="P28">
    <cfRule type="containsText" dxfId="140" priority="5196" operator="containsText" text="INVALID MARK">
      <formula>NOT(ISERROR(SEARCH("INVALID MARK",P28)))</formula>
    </cfRule>
    <cfRule type="containsText" dxfId="139" priority="5197" operator="containsText" text="INVALID ENTRY">
      <formula>NOT(ISERROR(SEARCH("INVALID ENTRY",P28)))</formula>
    </cfRule>
    <cfRule type="containsText" dxfId="138" priority="5198" operator="containsText" text="MISSING MARK">
      <formula>NOT(ISERROR(SEARCH("MISSING MARK",P28)))</formula>
    </cfRule>
  </conditionalFormatting>
  <conditionalFormatting sqref="P29:P31">
    <cfRule type="containsText" dxfId="137" priority="5193" operator="containsText" text="INVALID MARK">
      <formula>NOT(ISERROR(SEARCH("INVALID MARK",P29)))</formula>
    </cfRule>
    <cfRule type="containsText" dxfId="136" priority="5194" operator="containsText" text="INVALID ENTRY">
      <formula>NOT(ISERROR(SEARCH("INVALID ENTRY",P29)))</formula>
    </cfRule>
    <cfRule type="containsText" dxfId="135" priority="5195" operator="containsText" text="MISSING MARK">
      <formula>NOT(ISERROR(SEARCH("MISSING MARK",P29)))</formula>
    </cfRule>
  </conditionalFormatting>
  <conditionalFormatting sqref="Q28">
    <cfRule type="containsText" dxfId="134" priority="5184" operator="containsText" text="INVALID MARK">
      <formula>NOT(ISERROR(SEARCH("INVALID MARK",Q28)))</formula>
    </cfRule>
    <cfRule type="containsText" dxfId="133" priority="5185" operator="containsText" text="INVALID ENTRY">
      <formula>NOT(ISERROR(SEARCH("INVALID ENTRY",Q28)))</formula>
    </cfRule>
    <cfRule type="containsText" dxfId="132" priority="5186" operator="containsText" text="MISSING MARK">
      <formula>NOT(ISERROR(SEARCH("MISSING MARK",Q28)))</formula>
    </cfRule>
  </conditionalFormatting>
  <conditionalFormatting sqref="Q29:Q31">
    <cfRule type="containsText" dxfId="131" priority="5181" operator="containsText" text="INVALID MARK">
      <formula>NOT(ISERROR(SEARCH("INVALID MARK",Q29)))</formula>
    </cfRule>
    <cfRule type="containsText" dxfId="130" priority="5182" operator="containsText" text="INVALID ENTRY">
      <formula>NOT(ISERROR(SEARCH("INVALID ENTRY",Q29)))</formula>
    </cfRule>
    <cfRule type="containsText" dxfId="129" priority="5183" operator="containsText" text="MISSING MARK">
      <formula>NOT(ISERROR(SEARCH("MISSING MARK",Q29)))</formula>
    </cfRule>
  </conditionalFormatting>
  <conditionalFormatting sqref="G32:G36">
    <cfRule type="containsText" dxfId="128" priority="5175" operator="containsText" text="WRITE SUPP">
      <formula>NOT(ISERROR(SEARCH("WRITE SUPP",G32)))</formula>
    </cfRule>
  </conditionalFormatting>
  <conditionalFormatting sqref="H32:H36">
    <cfRule type="containsText" dxfId="127" priority="5170" operator="containsText" text="FAIL">
      <formula>NOT(ISERROR(SEARCH("FAIL",H32)))</formula>
    </cfRule>
  </conditionalFormatting>
  <conditionalFormatting sqref="O32:O36">
    <cfRule type="containsText" dxfId="126" priority="5163" operator="containsText" text="INVALID MARK">
      <formula>NOT(ISERROR(SEARCH("INVALID MARK",O32)))</formula>
    </cfRule>
    <cfRule type="containsText" dxfId="125" priority="5164" operator="containsText" text="INVALID ENTRY">
      <formula>NOT(ISERROR(SEARCH("INVALID ENTRY",O32)))</formula>
    </cfRule>
    <cfRule type="containsText" dxfId="124" priority="5165" operator="containsText" text="MISSING MARK">
      <formula>NOT(ISERROR(SEARCH("MISSING MARK",O32)))</formula>
    </cfRule>
  </conditionalFormatting>
  <conditionalFormatting sqref="P32:P36">
    <cfRule type="containsText" dxfId="123" priority="5160" operator="containsText" text="INVALID MARK">
      <formula>NOT(ISERROR(SEARCH("INVALID MARK",P32)))</formula>
    </cfRule>
    <cfRule type="containsText" dxfId="122" priority="5161" operator="containsText" text="INVALID ENTRY">
      <formula>NOT(ISERROR(SEARCH("INVALID ENTRY",P32)))</formula>
    </cfRule>
    <cfRule type="containsText" dxfId="121" priority="5162" operator="containsText" text="MISSING MARK">
      <formula>NOT(ISERROR(SEARCH("MISSING MARK",P32)))</formula>
    </cfRule>
  </conditionalFormatting>
  <conditionalFormatting sqref="Q32:Q36">
    <cfRule type="containsText" dxfId="120" priority="5157" operator="containsText" text="INVALID MARK">
      <formula>NOT(ISERROR(SEARCH("INVALID MARK",Q32)))</formula>
    </cfRule>
    <cfRule type="containsText" dxfId="119" priority="5158" operator="containsText" text="INVALID ENTRY">
      <formula>NOT(ISERROR(SEARCH("INVALID ENTRY",Q32)))</formula>
    </cfRule>
    <cfRule type="containsText" dxfId="118" priority="5159" operator="containsText" text="MISSING MARK">
      <formula>NOT(ISERROR(SEARCH("MISSING MARK",Q32)))</formula>
    </cfRule>
  </conditionalFormatting>
  <conditionalFormatting sqref="G37">
    <cfRule type="containsText" dxfId="117" priority="5142" operator="containsText" text="WRITE SUPP">
      <formula>NOT(ISERROR(SEARCH("WRITE SUPP",G37)))</formula>
    </cfRule>
  </conditionalFormatting>
  <conditionalFormatting sqref="H37">
    <cfRule type="containsText" dxfId="116" priority="5137" operator="containsText" text="FAIL">
      <formula>NOT(ISERROR(SEARCH("FAIL",H37)))</formula>
    </cfRule>
  </conditionalFormatting>
  <conditionalFormatting sqref="O37">
    <cfRule type="containsText" dxfId="115" priority="5130" operator="containsText" text="INVALID MARK">
      <formula>NOT(ISERROR(SEARCH("INVALID MARK",O37)))</formula>
    </cfRule>
    <cfRule type="containsText" dxfId="114" priority="5131" operator="containsText" text="INVALID ENTRY">
      <formula>NOT(ISERROR(SEARCH("INVALID ENTRY",O37)))</formula>
    </cfRule>
    <cfRule type="containsText" dxfId="113" priority="5132" operator="containsText" text="MISSING MARK">
      <formula>NOT(ISERROR(SEARCH("MISSING MARK",O37)))</formula>
    </cfRule>
  </conditionalFormatting>
  <conditionalFormatting sqref="P37">
    <cfRule type="containsText" dxfId="112" priority="5127" operator="containsText" text="INVALID MARK">
      <formula>NOT(ISERROR(SEARCH("INVALID MARK",P37)))</formula>
    </cfRule>
    <cfRule type="containsText" dxfId="111" priority="5128" operator="containsText" text="INVALID ENTRY">
      <formula>NOT(ISERROR(SEARCH("INVALID ENTRY",P37)))</formula>
    </cfRule>
    <cfRule type="containsText" dxfId="110" priority="5129" operator="containsText" text="MISSING MARK">
      <formula>NOT(ISERROR(SEARCH("MISSING MARK",P37)))</formula>
    </cfRule>
  </conditionalFormatting>
  <conditionalFormatting sqref="Q37">
    <cfRule type="containsText" dxfId="109" priority="5124" operator="containsText" text="INVALID MARK">
      <formula>NOT(ISERROR(SEARCH("INVALID MARK",Q37)))</formula>
    </cfRule>
    <cfRule type="containsText" dxfId="108" priority="5125" operator="containsText" text="INVALID ENTRY">
      <formula>NOT(ISERROR(SEARCH("INVALID ENTRY",Q37)))</formula>
    </cfRule>
    <cfRule type="containsText" dxfId="107" priority="5126" operator="containsText" text="MISSING MARK">
      <formula>NOT(ISERROR(SEARCH("MISSING MARK",Q37)))</formula>
    </cfRule>
  </conditionalFormatting>
  <conditionalFormatting sqref="G38">
    <cfRule type="containsText" dxfId="106" priority="5042" operator="containsText" text="WRITE SUPP">
      <formula>NOT(ISERROR(SEARCH("WRITE SUPP",G38)))</formula>
    </cfRule>
  </conditionalFormatting>
  <conditionalFormatting sqref="H38">
    <cfRule type="containsText" dxfId="105" priority="5038" operator="containsText" text="FAIL">
      <formula>NOT(ISERROR(SEARCH("FAIL",H38)))</formula>
    </cfRule>
  </conditionalFormatting>
  <conditionalFormatting sqref="O38">
    <cfRule type="containsText" dxfId="104" priority="5031" operator="containsText" text="INVALID MARK">
      <formula>NOT(ISERROR(SEARCH("INVALID MARK",O38)))</formula>
    </cfRule>
    <cfRule type="containsText" dxfId="103" priority="5032" operator="containsText" text="INVALID ENTRY">
      <formula>NOT(ISERROR(SEARCH("INVALID ENTRY",O38)))</formula>
    </cfRule>
    <cfRule type="containsText" dxfId="102" priority="5033" operator="containsText" text="MISSING MARK">
      <formula>NOT(ISERROR(SEARCH("MISSING MARK",O38)))</formula>
    </cfRule>
  </conditionalFormatting>
  <conditionalFormatting sqref="P38">
    <cfRule type="containsText" dxfId="101" priority="5028" operator="containsText" text="INVALID MARK">
      <formula>NOT(ISERROR(SEARCH("INVALID MARK",P38)))</formula>
    </cfRule>
    <cfRule type="containsText" dxfId="100" priority="5029" operator="containsText" text="INVALID ENTRY">
      <formula>NOT(ISERROR(SEARCH("INVALID ENTRY",P38)))</formula>
    </cfRule>
    <cfRule type="containsText" dxfId="99" priority="5030" operator="containsText" text="MISSING MARK">
      <formula>NOT(ISERROR(SEARCH("MISSING MARK",P38)))</formula>
    </cfRule>
  </conditionalFormatting>
  <conditionalFormatting sqref="Q38">
    <cfRule type="containsText" dxfId="98" priority="5025" operator="containsText" text="INVALID MARK">
      <formula>NOT(ISERROR(SEARCH("INVALID MARK",Q38)))</formula>
    </cfRule>
    <cfRule type="containsText" dxfId="97" priority="5026" operator="containsText" text="INVALID ENTRY">
      <formula>NOT(ISERROR(SEARCH("INVALID ENTRY",Q38)))</formula>
    </cfRule>
    <cfRule type="containsText" dxfId="96" priority="5027" operator="containsText" text="MISSING MARK">
      <formula>NOT(ISERROR(SEARCH("MISSING MARK",Q38)))</formula>
    </cfRule>
  </conditionalFormatting>
  <conditionalFormatting sqref="K28:K38">
    <cfRule type="containsText" dxfId="95" priority="3893" operator="containsText" text="INVALID ENTRY">
      <formula>NOT(ISERROR(SEARCH("INVALID ENTRY",K28)))</formula>
    </cfRule>
  </conditionalFormatting>
  <conditionalFormatting sqref="I28:I38">
    <cfRule type="cellIs" dxfId="94" priority="8671" operator="equal">
      <formula>$L$11</formula>
    </cfRule>
    <cfRule type="cellIs" dxfId="93" priority="8672" operator="equal">
      <formula>$L$9</formula>
    </cfRule>
    <cfRule type="cellIs" dxfId="92" priority="8673" operator="equal">
      <formula>$L$8</formula>
    </cfRule>
    <cfRule type="cellIs" dxfId="91" priority="8674" operator="equal">
      <formula>$L$6</formula>
    </cfRule>
    <cfRule type="cellIs" dxfId="90" priority="8675" operator="equal">
      <formula>$L$5</formula>
    </cfRule>
    <cfRule type="cellIs" dxfId="89" priority="8676" operator="equal">
      <formula>$L$4</formula>
    </cfRule>
  </conditionalFormatting>
  <conditionalFormatting sqref="I28:I38">
    <cfRule type="cellIs" dxfId="88" priority="8677" operator="equal">
      <formula>$L$13</formula>
    </cfRule>
    <cfRule type="cellIs" dxfId="87" priority="8678" operator="equal">
      <formula>$L$12</formula>
    </cfRule>
    <cfRule type="cellIs" dxfId="86" priority="8679" operator="equal">
      <formula>$L$10</formula>
    </cfRule>
    <cfRule type="cellIs" dxfId="85" priority="8680" operator="equal">
      <formula>$L$7</formula>
    </cfRule>
  </conditionalFormatting>
  <conditionalFormatting sqref="K28:K38">
    <cfRule type="containsText" dxfId="84" priority="8687" operator="containsText" text="MISSING MARK">
      <formula>NOT(ISERROR(SEARCH("MISSING MARK",K28)))</formula>
    </cfRule>
    <cfRule type="containsText" dxfId="83" priority="8688" operator="containsText" text="INVALID MARK">
      <formula>NOT(ISERROR(SEARCH("INVALID MARK",K28)))</formula>
    </cfRule>
    <cfRule type="cellIs" dxfId="82" priority="8689" operator="lessThan">
      <formula>$D$12</formula>
    </cfRule>
    <cfRule type="cellIs" priority="8690" operator="greaterThanOrEqual">
      <formula>$D$12</formula>
    </cfRule>
    <cfRule type="expression" dxfId="81" priority="8691">
      <formula>"&gt;=$D$10"</formula>
    </cfRule>
  </conditionalFormatting>
  <conditionalFormatting sqref="J28:J38">
    <cfRule type="cellIs" dxfId="80" priority="8692" operator="lessThan">
      <formula>$D$10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73</v>
      </c>
      <c r="G3" s="4">
        <v>0</v>
      </c>
    </row>
    <row r="4" spans="3:126" ht="123.75" customHeight="1" thickBot="1" x14ac:dyDescent="0.3">
      <c r="C4" s="21"/>
      <c r="F4" s="119" t="s">
        <v>74</v>
      </c>
      <c r="G4" s="119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79" priority="661" operator="containsText" text="INVALID MARK">
      <formula>NOT(ISERROR(SEARCH("INVALID MARK",I7)))</formula>
    </cfRule>
    <cfRule type="containsText" dxfId="78" priority="662" operator="containsText" text="INVALID ENTRY">
      <formula>NOT(ISERROR(SEARCH("INVALID ENTRY",I7)))</formula>
    </cfRule>
    <cfRule type="containsText" dxfId="77" priority="663" operator="containsText" text="MISSING MARK">
      <formula>NOT(ISERROR(SEARCH("MISSING MARK",I7)))</formula>
    </cfRule>
  </conditionalFormatting>
  <conditionalFormatting sqref="D7">
    <cfRule type="containsText" dxfId="76" priority="491" operator="containsText" text="FAIL">
      <formula>NOT(ISERROR(SEARCH("FAIL",D7)))</formula>
    </cfRule>
    <cfRule type="containsText" dxfId="75" priority="492" operator="containsText" text="PASS">
      <formula>NOT(ISERROR(SEARCH("PASS",D7)))</formula>
    </cfRule>
  </conditionalFormatting>
  <conditionalFormatting sqref="D8:D10">
    <cfRule type="containsText" dxfId="74" priority="476" operator="containsText" text="FAIL">
      <formula>NOT(ISERROR(SEARCH("FAIL",D8)))</formula>
    </cfRule>
    <cfRule type="containsText" dxfId="73" priority="477" operator="containsText" text="PASS">
      <formula>NOT(ISERROR(SEARCH("PASS",D8)))</formula>
    </cfRule>
  </conditionalFormatting>
  <conditionalFormatting sqref="D11:D15">
    <cfRule type="containsText" dxfId="72" priority="471" operator="containsText" text="FAIL">
      <formula>NOT(ISERROR(SEARCH("FAIL",D11)))</formula>
    </cfRule>
    <cfRule type="containsText" dxfId="71" priority="472" operator="containsText" text="PASS">
      <formula>NOT(ISERROR(SEARCH("PASS",D11)))</formula>
    </cfRule>
  </conditionalFormatting>
  <conditionalFormatting sqref="D16">
    <cfRule type="containsText" dxfId="70" priority="466" operator="containsText" text="FAIL">
      <formula>NOT(ISERROR(SEARCH("FAIL",D16)))</formula>
    </cfRule>
    <cfRule type="containsText" dxfId="69" priority="467" operator="containsText" text="PASS">
      <formula>NOT(ISERROR(SEARCH("PASS",D16)))</formula>
    </cfRule>
  </conditionalFormatting>
  <conditionalFormatting sqref="D17">
    <cfRule type="containsText" dxfId="68" priority="446" operator="containsText" text="FAIL">
      <formula>NOT(ISERROR(SEARCH("FAIL",D17)))</formula>
    </cfRule>
    <cfRule type="containsText" dxfId="67" priority="44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19" t="s">
        <v>74</v>
      </c>
      <c r="G4" s="119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66" priority="483" operator="containsText" text="INVALID MARK">
      <formula>NOT(ISERROR(SEARCH("INVALID MARK",I7)))</formula>
    </cfRule>
    <cfRule type="containsText" dxfId="65" priority="484" operator="containsText" text="INVALID ENTRY">
      <formula>NOT(ISERROR(SEARCH("INVALID ENTRY",I7)))</formula>
    </cfRule>
    <cfRule type="containsText" dxfId="64" priority="485" operator="containsText" text="MISSING MARK">
      <formula>NOT(ISERROR(SEARCH("MISSING MARK",I7)))</formula>
    </cfRule>
  </conditionalFormatting>
  <conditionalFormatting sqref="D7">
    <cfRule type="containsText" dxfId="63" priority="481" operator="containsText" text="FAIL">
      <formula>NOT(ISERROR(SEARCH("FAIL",D7)))</formula>
    </cfRule>
    <cfRule type="containsText" dxfId="62" priority="482" operator="containsText" text="PASS">
      <formula>NOT(ISERROR(SEARCH("PASS",D7)))</formula>
    </cfRule>
  </conditionalFormatting>
  <conditionalFormatting sqref="D8:D10">
    <cfRule type="containsText" dxfId="61" priority="476" operator="containsText" text="FAIL">
      <formula>NOT(ISERROR(SEARCH("FAIL",D8)))</formula>
    </cfRule>
    <cfRule type="containsText" dxfId="60" priority="477" operator="containsText" text="PASS">
      <formula>NOT(ISERROR(SEARCH("PASS",D8)))</formula>
    </cfRule>
  </conditionalFormatting>
  <conditionalFormatting sqref="D11:D15">
    <cfRule type="containsText" dxfId="59" priority="471" operator="containsText" text="FAIL">
      <formula>NOT(ISERROR(SEARCH("FAIL",D11)))</formula>
    </cfRule>
    <cfRule type="containsText" dxfId="58" priority="472" operator="containsText" text="PASS">
      <formula>NOT(ISERROR(SEARCH("PASS",D11)))</formula>
    </cfRule>
  </conditionalFormatting>
  <conditionalFormatting sqref="D16">
    <cfRule type="containsText" dxfId="57" priority="466" operator="containsText" text="FAIL">
      <formula>NOT(ISERROR(SEARCH("FAIL",D16)))</formula>
    </cfRule>
    <cfRule type="containsText" dxfId="56" priority="467" operator="containsText" text="PASS">
      <formula>NOT(ISERROR(SEARCH("PASS",D16)))</formula>
    </cfRule>
  </conditionalFormatting>
  <conditionalFormatting sqref="D17">
    <cfRule type="containsText" dxfId="55" priority="446" operator="containsText" text="FAIL">
      <formula>NOT(ISERROR(SEARCH("FAIL",D17)))</formula>
    </cfRule>
    <cfRule type="containsText" dxfId="54" priority="4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topLeftCell="A4" workbookViewId="0">
      <selection activeCell="I23" sqref="I23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19" t="s">
        <v>74</v>
      </c>
      <c r="G4" s="119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53" priority="483" operator="containsText" text="INVALID MARK">
      <formula>NOT(ISERROR(SEARCH("INVALID MARK",I7)))</formula>
    </cfRule>
    <cfRule type="containsText" dxfId="52" priority="484" operator="containsText" text="INVALID ENTRY">
      <formula>NOT(ISERROR(SEARCH("INVALID ENTRY",I7)))</formula>
    </cfRule>
    <cfRule type="containsText" dxfId="51" priority="485" operator="containsText" text="MISSING MARK">
      <formula>NOT(ISERROR(SEARCH("MISSING MARK",I7)))</formula>
    </cfRule>
  </conditionalFormatting>
  <conditionalFormatting sqref="D7">
    <cfRule type="containsText" dxfId="50" priority="481" operator="containsText" text="FAIL">
      <formula>NOT(ISERROR(SEARCH("FAIL",D7)))</formula>
    </cfRule>
    <cfRule type="containsText" dxfId="49" priority="482" operator="containsText" text="PASS">
      <formula>NOT(ISERROR(SEARCH("PASS",D7)))</formula>
    </cfRule>
  </conditionalFormatting>
  <conditionalFormatting sqref="D8:D10">
    <cfRule type="containsText" dxfId="48" priority="476" operator="containsText" text="FAIL">
      <formula>NOT(ISERROR(SEARCH("FAIL",D8)))</formula>
    </cfRule>
    <cfRule type="containsText" dxfId="47" priority="477" operator="containsText" text="PASS">
      <formula>NOT(ISERROR(SEARCH("PASS",D8)))</formula>
    </cfRule>
  </conditionalFormatting>
  <conditionalFormatting sqref="D11:D15">
    <cfRule type="containsText" dxfId="46" priority="471" operator="containsText" text="FAIL">
      <formula>NOT(ISERROR(SEARCH("FAIL",D11)))</formula>
    </cfRule>
    <cfRule type="containsText" dxfId="45" priority="472" operator="containsText" text="PASS">
      <formula>NOT(ISERROR(SEARCH("PASS",D11)))</formula>
    </cfRule>
  </conditionalFormatting>
  <conditionalFormatting sqref="D16">
    <cfRule type="containsText" dxfId="44" priority="466" operator="containsText" text="FAIL">
      <formula>NOT(ISERROR(SEARCH("FAIL",D16)))</formula>
    </cfRule>
    <cfRule type="containsText" dxfId="43" priority="467" operator="containsText" text="PASS">
      <formula>NOT(ISERROR(SEARCH("PASS",D16)))</formula>
    </cfRule>
  </conditionalFormatting>
  <conditionalFormatting sqref="D17">
    <cfRule type="containsText" dxfId="42" priority="446" operator="containsText" text="FAIL">
      <formula>NOT(ISERROR(SEARCH("FAIL",D17)))</formula>
    </cfRule>
    <cfRule type="containsText" dxfId="41" priority="447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73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19" t="s">
        <v>74</v>
      </c>
      <c r="G4" s="119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40" priority="483" operator="containsText" text="INVALID MARK">
      <formula>NOT(ISERROR(SEARCH("INVALID MARK",I7)))</formula>
    </cfRule>
    <cfRule type="containsText" dxfId="39" priority="484" operator="containsText" text="INVALID ENTRY">
      <formula>NOT(ISERROR(SEARCH("INVALID ENTRY",I7)))</formula>
    </cfRule>
    <cfRule type="containsText" dxfId="38" priority="485" operator="containsText" text="MISSING MARK">
      <formula>NOT(ISERROR(SEARCH("MISSING MARK",I7)))</formula>
    </cfRule>
  </conditionalFormatting>
  <conditionalFormatting sqref="D7">
    <cfRule type="containsText" dxfId="37" priority="481" operator="containsText" text="FAIL">
      <formula>NOT(ISERROR(SEARCH("FAIL",D7)))</formula>
    </cfRule>
    <cfRule type="containsText" dxfId="36" priority="482" operator="containsText" text="PASS">
      <formula>NOT(ISERROR(SEARCH("PASS",D7)))</formula>
    </cfRule>
  </conditionalFormatting>
  <conditionalFormatting sqref="D8:D10">
    <cfRule type="containsText" dxfId="35" priority="476" operator="containsText" text="FAIL">
      <formula>NOT(ISERROR(SEARCH("FAIL",D8)))</formula>
    </cfRule>
    <cfRule type="containsText" dxfId="34" priority="477" operator="containsText" text="PASS">
      <formula>NOT(ISERROR(SEARCH("PASS",D8)))</formula>
    </cfRule>
  </conditionalFormatting>
  <conditionalFormatting sqref="D11:D15">
    <cfRule type="containsText" dxfId="33" priority="471" operator="containsText" text="FAIL">
      <formula>NOT(ISERROR(SEARCH("FAIL",D11)))</formula>
    </cfRule>
    <cfRule type="containsText" dxfId="32" priority="472" operator="containsText" text="PASS">
      <formula>NOT(ISERROR(SEARCH("PASS",D11)))</formula>
    </cfRule>
  </conditionalFormatting>
  <conditionalFormatting sqref="D16">
    <cfRule type="containsText" dxfId="31" priority="466" operator="containsText" text="FAIL">
      <formula>NOT(ISERROR(SEARCH("FAIL",D16)))</formula>
    </cfRule>
    <cfRule type="containsText" dxfId="30" priority="467" operator="containsText" text="PASS">
      <formula>NOT(ISERROR(SEARCH("PASS",D16)))</formula>
    </cfRule>
  </conditionalFormatting>
  <conditionalFormatting sqref="D17">
    <cfRule type="containsText" dxfId="29" priority="446" operator="containsText" text="FAIL">
      <formula>NOT(ISERROR(SEARCH("FAIL",D17)))</formula>
    </cfRule>
    <cfRule type="containsText" dxfId="28" priority="44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19"/>
      <c r="G4" s="119"/>
      <c r="H4" s="4"/>
      <c r="I4" s="19"/>
      <c r="J4" s="8"/>
      <c r="K4" s="95" t="s">
        <v>71</v>
      </c>
      <c r="L4" s="92" t="s">
        <v>72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27" priority="810" operator="containsText" text="INVALID MARK">
      <formula>NOT(ISERROR(SEARCH("INVALID MARK",I7)))</formula>
    </cfRule>
    <cfRule type="containsText" dxfId="26" priority="811" operator="containsText" text="INVALID ENTRY">
      <formula>NOT(ISERROR(SEARCH("INVALID ENTRY",I7)))</formula>
    </cfRule>
    <cfRule type="containsText" dxfId="25" priority="812" operator="containsText" text="MISSING MARK">
      <formula>NOT(ISERROR(SEARCH("MISSING MARK",I7)))</formula>
    </cfRule>
  </conditionalFormatting>
  <conditionalFormatting sqref="D7">
    <cfRule type="containsText" dxfId="24" priority="583" operator="containsText" text="FAIL">
      <formula>NOT(ISERROR(SEARCH("FAIL",D7)))</formula>
    </cfRule>
    <cfRule type="containsText" dxfId="23" priority="584" operator="containsText" text="PASS">
      <formula>NOT(ISERROR(SEARCH("PASS",D7)))</formula>
    </cfRule>
  </conditionalFormatting>
  <conditionalFormatting sqref="D8:D10">
    <cfRule type="containsText" dxfId="22" priority="565" operator="containsText" text="FAIL">
      <formula>NOT(ISERROR(SEARCH("FAIL",D8)))</formula>
    </cfRule>
    <cfRule type="containsText" dxfId="21" priority="566" operator="containsText" text="PASS">
      <formula>NOT(ISERROR(SEARCH("PASS",D8)))</formula>
    </cfRule>
  </conditionalFormatting>
  <conditionalFormatting sqref="H7:H16">
    <cfRule type="containsText" dxfId="20" priority="561" operator="containsText" text="INVALID MARK">
      <formula>NOT(ISERROR(SEARCH("INVALID MARK",H7)))</formula>
    </cfRule>
  </conditionalFormatting>
  <conditionalFormatting sqref="D11:D15">
    <cfRule type="containsText" dxfId="19" priority="559" operator="containsText" text="FAIL">
      <formula>NOT(ISERROR(SEARCH("FAIL",D11)))</formula>
    </cfRule>
    <cfRule type="containsText" dxfId="18" priority="560" operator="containsText" text="PASS">
      <formula>NOT(ISERROR(SEARCH("PASS",D11)))</formula>
    </cfRule>
  </conditionalFormatting>
  <conditionalFormatting sqref="D16">
    <cfRule type="containsText" dxfId="17" priority="553" operator="containsText" text="FAIL">
      <formula>NOT(ISERROR(SEARCH("FAIL",D16)))</formula>
    </cfRule>
    <cfRule type="containsText" dxfId="16" priority="554" operator="containsText" text="PASS">
      <formula>NOT(ISERROR(SEARCH("PASS",D16)))</formula>
    </cfRule>
  </conditionalFormatting>
  <conditionalFormatting sqref="H17">
    <cfRule type="containsText" dxfId="15" priority="534" operator="containsText" text="INVALID MARK">
      <formula>NOT(ISERROR(SEARCH("INVALID MARK",H17)))</formula>
    </cfRule>
  </conditionalFormatting>
  <conditionalFormatting sqref="D17">
    <cfRule type="containsText" dxfId="14" priority="529" operator="containsText" text="FAIL">
      <formula>NOT(ISERROR(SEARCH("FAIL",D17)))</formula>
    </cfRule>
    <cfRule type="containsText" dxfId="13" priority="530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2020-10-15T13:00:15Z</dcterms:modified>
</cp:coreProperties>
</file>