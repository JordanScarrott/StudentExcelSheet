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61" r:id="rId3"/>
    <sheet name="Exam" sheetId="52" r:id="rId4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M36" i="1" l="1"/>
  <c r="M35" i="1"/>
  <c r="M34" i="1"/>
  <c r="M33" i="1"/>
  <c r="M32" i="1"/>
  <c r="M31" i="1"/>
  <c r="M30" i="1"/>
  <c r="M29" i="1"/>
  <c r="M27" i="1"/>
  <c r="O36" i="1"/>
  <c r="O35" i="1"/>
  <c r="O34" i="1"/>
  <c r="O33" i="1"/>
  <c r="O32" i="1"/>
  <c r="O31" i="1"/>
  <c r="O30" i="1"/>
  <c r="O29" i="1"/>
  <c r="O27" i="1"/>
  <c r="K15" i="61"/>
  <c r="G15" i="61"/>
  <c r="F15" i="61"/>
  <c r="E15" i="61"/>
  <c r="K14" i="61"/>
  <c r="G14" i="61"/>
  <c r="F14" i="61"/>
  <c r="E14" i="61"/>
  <c r="K13" i="61"/>
  <c r="G13" i="61"/>
  <c r="F13" i="61"/>
  <c r="E13" i="61"/>
  <c r="K12" i="61"/>
  <c r="G12" i="61"/>
  <c r="F12" i="61"/>
  <c r="E12" i="61"/>
  <c r="K11" i="61"/>
  <c r="G11" i="61"/>
  <c r="F11" i="61"/>
  <c r="E11" i="61"/>
  <c r="K10" i="61"/>
  <c r="G10" i="61"/>
  <c r="F10" i="61"/>
  <c r="E10" i="61"/>
  <c r="K9" i="61"/>
  <c r="G9" i="61"/>
  <c r="F9" i="61"/>
  <c r="E9" i="61"/>
  <c r="K8" i="61"/>
  <c r="G8" i="61"/>
  <c r="F8" i="61"/>
  <c r="E8" i="61"/>
  <c r="K7" i="61"/>
  <c r="G7" i="61"/>
  <c r="F7" i="61"/>
  <c r="E7" i="61"/>
  <c r="K6" i="61"/>
  <c r="H15" i="61" s="1"/>
  <c r="D15" i="61" s="1"/>
  <c r="I6" i="61"/>
  <c r="D3" i="61"/>
  <c r="O25" i="1" s="1"/>
  <c r="I14" i="61"/>
  <c r="I9" i="61"/>
  <c r="I11" i="61"/>
  <c r="I15" i="61"/>
  <c r="H7" i="61" l="1"/>
  <c r="H9" i="61"/>
  <c r="D9" i="61" s="1"/>
  <c r="H11" i="61"/>
  <c r="D11" i="61" s="1"/>
  <c r="H14" i="61"/>
  <c r="D14" i="61" s="1"/>
  <c r="H13" i="61"/>
  <c r="H8" i="61"/>
  <c r="H12" i="61"/>
  <c r="H10" i="61"/>
  <c r="K15" i="52"/>
  <c r="G15" i="52"/>
  <c r="F15" i="52"/>
  <c r="E15" i="52"/>
  <c r="K14" i="52"/>
  <c r="G14" i="52"/>
  <c r="F14" i="52"/>
  <c r="E14" i="52"/>
  <c r="K13" i="52"/>
  <c r="G13" i="52"/>
  <c r="F13" i="52"/>
  <c r="E13" i="52"/>
  <c r="K12" i="52"/>
  <c r="G12" i="52"/>
  <c r="F12" i="52"/>
  <c r="E12" i="52"/>
  <c r="K11" i="52"/>
  <c r="G11" i="52"/>
  <c r="F11" i="52"/>
  <c r="E11" i="52"/>
  <c r="K10" i="52"/>
  <c r="G10" i="52"/>
  <c r="F10" i="52"/>
  <c r="E10" i="52"/>
  <c r="K9" i="52"/>
  <c r="G9" i="52"/>
  <c r="F9" i="52"/>
  <c r="E9" i="52"/>
  <c r="K8" i="52"/>
  <c r="G8" i="52"/>
  <c r="F8" i="52"/>
  <c r="E8" i="52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4"/>
  <c r="G10" i="54"/>
  <c r="F10" i="54"/>
  <c r="E10" i="54"/>
  <c r="K9" i="54"/>
  <c r="G9" i="54"/>
  <c r="F9" i="54"/>
  <c r="E9" i="54"/>
  <c r="K8" i="54"/>
  <c r="G8" i="54"/>
  <c r="F8" i="54"/>
  <c r="E8" i="54"/>
  <c r="I7" i="61"/>
  <c r="I8" i="61"/>
  <c r="I13" i="61"/>
  <c r="I10" i="61"/>
  <c r="I12" i="61"/>
  <c r="D7" i="61" l="1"/>
  <c r="O28" i="1"/>
  <c r="M28" i="1" s="1"/>
  <c r="D13" i="61"/>
  <c r="D8" i="61"/>
  <c r="D12" i="61"/>
  <c r="D10" i="61"/>
  <c r="G3" i="52"/>
  <c r="K7" i="52" l="1"/>
  <c r="G7" i="52"/>
  <c r="F7" i="52"/>
  <c r="E7" i="52"/>
  <c r="K7" i="54"/>
  <c r="G7" i="54"/>
  <c r="F7" i="54"/>
  <c r="E7" i="54"/>
  <c r="N27" i="1" l="1"/>
  <c r="K6" i="54" l="1"/>
  <c r="D3" i="54"/>
  <c r="N25" i="1" s="1"/>
  <c r="H9" i="54" l="1"/>
  <c r="H11" i="54"/>
  <c r="H14" i="54"/>
  <c r="H13" i="54"/>
  <c r="H15" i="54"/>
  <c r="H8" i="54"/>
  <c r="H10" i="54"/>
  <c r="H12" i="54"/>
  <c r="H7" i="54"/>
  <c r="I6" i="54"/>
  <c r="D8" i="54" l="1"/>
  <c r="N29" i="1"/>
  <c r="D14" i="54"/>
  <c r="N35" i="1"/>
  <c r="N32" i="1"/>
  <c r="D11" i="54"/>
  <c r="N36" i="1"/>
  <c r="D15" i="54"/>
  <c r="D9" i="54"/>
  <c r="N30" i="1"/>
  <c r="N33" i="1"/>
  <c r="D12" i="54"/>
  <c r="N34" i="1"/>
  <c r="D13" i="54"/>
  <c r="N31" i="1"/>
  <c r="D10" i="54"/>
  <c r="N28" i="1"/>
  <c r="D7" i="54"/>
  <c r="K6" i="52"/>
  <c r="L30" i="1" l="1"/>
  <c r="L28" i="1"/>
  <c r="L36" i="1"/>
  <c r="L29" i="1"/>
  <c r="L31" i="1"/>
  <c r="L34" i="1"/>
  <c r="L32" i="1"/>
  <c r="L35" i="1"/>
  <c r="L33" i="1"/>
  <c r="I6" i="52"/>
  <c r="G5" i="52"/>
  <c r="F5" i="52"/>
  <c r="E5" i="52"/>
  <c r="D3" i="52"/>
  <c r="I7" i="52"/>
  <c r="I13" i="54"/>
  <c r="I10" i="54"/>
  <c r="I8" i="54"/>
  <c r="I11" i="54"/>
  <c r="I12" i="54"/>
  <c r="I14" i="54"/>
  <c r="I15" i="54"/>
  <c r="I9" i="54"/>
  <c r="H11" i="52"/>
  <c r="I11" i="52"/>
  <c r="D11" i="52" l="1"/>
  <c r="K32" i="1"/>
  <c r="H9" i="52"/>
  <c r="I9" i="52"/>
  <c r="D9" i="52" l="1"/>
  <c r="K30" i="1"/>
  <c r="J30" i="1" s="1"/>
  <c r="I30" i="1" s="1"/>
  <c r="H12" i="52"/>
  <c r="I12" i="52"/>
  <c r="D12" i="52" l="1"/>
  <c r="G30" i="1"/>
  <c r="H30" i="1"/>
  <c r="K33" i="1"/>
  <c r="J33" i="1" l="1"/>
  <c r="I33" i="1" s="1"/>
  <c r="G33" i="1" l="1"/>
  <c r="H33" i="1"/>
  <c r="H14" i="52"/>
  <c r="I14" i="52"/>
  <c r="D14" i="52" l="1"/>
  <c r="K35" i="1"/>
  <c r="H15" i="52"/>
  <c r="I15" i="52"/>
  <c r="D15" i="52" l="1"/>
  <c r="J35" i="1"/>
  <c r="I35" i="1" s="1"/>
  <c r="K36" i="1"/>
  <c r="H35" i="1" l="1"/>
  <c r="J36" i="1"/>
  <c r="I36" i="1" s="1"/>
  <c r="G35" i="1"/>
  <c r="J32" i="1"/>
  <c r="H8" i="52"/>
  <c r="I8" i="52"/>
  <c r="D8" i="52" l="1"/>
  <c r="G36" i="1"/>
  <c r="I32" i="1"/>
  <c r="H32" i="1"/>
  <c r="G32" i="1"/>
  <c r="H36" i="1"/>
  <c r="K29" i="1"/>
  <c r="H13" i="52"/>
  <c r="I13" i="52"/>
  <c r="D13" i="52" l="1"/>
  <c r="J29" i="1"/>
  <c r="I29" i="1" s="1"/>
  <c r="K34" i="1"/>
  <c r="H29" i="1" l="1"/>
  <c r="J34" i="1"/>
  <c r="I34" i="1" s="1"/>
  <c r="G29" i="1"/>
  <c r="H34" i="1" l="1"/>
  <c r="G34" i="1"/>
  <c r="I7" i="54"/>
  <c r="M15" i="1" l="1"/>
  <c r="M14" i="1"/>
  <c r="M16" i="1"/>
  <c r="H10" i="52"/>
  <c r="I10" i="52"/>
  <c r="D10" i="52" l="1"/>
  <c r="K31" i="1"/>
  <c r="H31" i="1" l="1"/>
  <c r="J31" i="1"/>
  <c r="I31" i="1" s="1"/>
  <c r="H7" i="52"/>
  <c r="D7" i="52" l="1"/>
  <c r="G31" i="1"/>
  <c r="K28" i="1"/>
  <c r="J28" i="1" s="1"/>
  <c r="I28" i="1" s="1"/>
  <c r="H28" i="1" l="1"/>
  <c r="G28" i="1"/>
  <c r="M17" i="1" l="1"/>
  <c r="M18" i="1"/>
  <c r="M19" i="1"/>
  <c r="M6" i="1" l="1"/>
  <c r="M5" i="1"/>
  <c r="M10" i="1"/>
  <c r="M11" i="1"/>
  <c r="M13" i="1"/>
  <c r="M7" i="1"/>
  <c r="M9" i="1"/>
  <c r="M4" i="1"/>
  <c r="M8" i="1"/>
  <c r="M12" i="1"/>
</calcChain>
</file>

<file path=xl/sharedStrings.xml><?xml version="1.0" encoding="utf-8"?>
<sst xmlns="http://schemas.openxmlformats.org/spreadsheetml/2006/main" count="151" uniqueCount="100">
  <si>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</si>
  <si>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</si>
  <si>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</si>
  <si>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</si>
  <si>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</si>
  <si>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</si>
  <si>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</si>
  <si>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</si>
  <si>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</si>
  <si>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</si>
  <si>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</si>
  <si>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</si>
  <si>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</si>
  <si>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</si>
  <si>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</si>
  <si>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</si>
  <si>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</si>
  <si>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</si>
  <si>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</si>
  <si>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</si>
  <si>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</si>
  <si>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</si>
  <si>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</si>
  <si>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</si>
  <si>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</si>
  <si>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</si>
  <si>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</si>
  <si>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</si>
  <si>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</si>
  <si>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</si>
  <si>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</si>
  <si>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</si>
  <si>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</si>
  <si>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A-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</si>
  <si>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</si>
  <si>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</si>
  <si>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</si>
  <si>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</si>
  <si>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</si>
  <si>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</si>
  <si>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</si>
  <si>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</si>
  <si>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</si>
  <si>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</si>
  <si>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</si>
  <si>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</si>
  <si>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</si>
  <si>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</si>
  <si>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</si>
  <si>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</si>
  <si>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</si>
  <si>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</si>
  <si>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</si>
  <si>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</si>
  <si>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</si>
  <si>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</si>
  <si>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</si>
  <si>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</si>
  <si>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</si>
  <si>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</si>
  <si>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</si>
  <si>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</si>
  <si>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</si>
  <si>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</si>
  <si>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</si>
  <si>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</si>
  <si>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</si>
  <si>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</si>
  <si>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</si>
  <si>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</si>
  <si>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</si>
  <si>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</si>
  <si>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</si>
  <si>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</si>
  <si>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</si>
  <si>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</si>
  <si>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</si>
  <si>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a</t>
  </si>
  <si>
    <t>b</t>
  </si>
  <si>
    <t>c</t>
  </si>
  <si>
    <t>d</t>
  </si>
  <si>
    <t>e</t>
  </si>
  <si>
    <t>f</t>
  </si>
  <si>
    <t>g</t>
  </si>
  <si>
    <t>h</t>
  </si>
  <si>
    <t>i</t>
  </si>
  <si>
    <t xml:space="preserve">This is a supp for Test #: </t>
  </si>
  <si>
    <t>E</t>
  </si>
  <si>
    <t>G</t>
  </si>
  <si>
    <t>H</t>
  </si>
  <si>
    <t>I</t>
  </si>
  <si>
    <t>1</t>
  </si>
  <si>
    <t>2</t>
  </si>
  <si>
    <t>3</t>
  </si>
  <si>
    <t>4</t>
  </si>
  <si>
    <t>5</t>
  </si>
  <si>
    <t>6</t>
  </si>
  <si>
    <t>7</t>
  </si>
  <si>
    <t>8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</si>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</sst>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34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64" fontId="2" fillId="2" borderId="2" xfId="1" applyNumberFormat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2" fillId="7" borderId="35" xfId="5" applyFont="1" applyBorder="1" applyAlignment="1">
      <alignment horizontal="center"/>
    </xf>
    <xf numFmtId="9" fontId="2" fillId="2" borderId="35" xfId="1" applyFont="1" applyFill="1" applyBorder="1" applyAlignment="1">
      <alignment horizontal="center"/>
    </xf>
    <xf numFmtId="0" fontId="2" fillId="3" borderId="35" xfId="0" applyFont="1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2" fillId="6" borderId="12" xfId="4" applyFont="1" applyBorder="1" applyAlignment="1">
      <alignment horizontal="center" vertical="center"/>
    </xf>
    <xf numFmtId="0" fontId="2" fillId="6" borderId="12" xfId="4" applyFont="1" applyBorder="1" applyAlignment="1">
      <alignment horizontal="right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8" xfId="0" applyBorder="1" applyAlignment="1">
      <alignment horizontal="center" vertical="center" wrapText="1"/>
    </xf>
    <xf numFmtId="0" fontId="2" fillId="7" borderId="38" xfId="5" applyNumberFormat="1" applyFont="1" applyBorder="1" applyAlignment="1">
      <alignment horizontal="center"/>
    </xf>
    <xf numFmtId="0" fontId="2" fillId="6" borderId="2" xfId="4" applyFont="1" applyBorder="1" applyAlignment="1">
      <alignment horizontal="right"/>
    </xf>
    <xf numFmtId="0" fontId="0" fillId="0" borderId="10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38" xfId="0" applyBorder="1" applyAlignment="1">
      <alignment wrapText="1"/>
    </xf>
    <xf numFmtId="0" fontId="0" fillId="0" borderId="5" xfId="0" applyBorder="1" applyAlignment="1">
      <alignment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54"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</dxfs>
  <tableStyles count="0" defaultTableStyle="TableStyleMedium2" defaultPivotStyle="PivotStyleMedium9"/>
  <colors>
    <mruColors>
      <color rgb="FFF36B4B"/>
      <color rgb="FFFF6600"/>
      <color rgb="FFABF34B"/>
      <color rgb="FFABF346"/>
      <color rgb="FFABF32B"/>
      <color rgb="FFABF37E"/>
      <color rgb="FFA4DC7E"/>
      <color rgb="FF09AB4B"/>
      <color rgb="FFF3AB4B"/>
      <color rgb="FFF3E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T36"/>
  <sheetViews>
    <sheetView tabSelected="1" zoomScaleNormal="100" workbookViewId="0">
      <selection activeCell="Q16" sqref="Q16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28515625" customWidth="1"/>
    <col min="10" max="10" width="15.85546875" customWidth="1"/>
    <col min="11" max="11" width="14" bestFit="1" customWidth="1"/>
    <col min="12" max="12" width="18.42578125" bestFit="1" customWidth="1"/>
    <col min="13" max="13" width="20" bestFit="1" customWidth="1"/>
    <col min="14" max="14" width="14.42578125" bestFit="1" customWidth="1"/>
    <col min="15" max="15" width="12" customWidth="1"/>
  </cols>
  <sheetData>
    <row r="1" spans="3:20" x14ac:dyDescent="0.25">
      <c r="C1" s="34"/>
    </row>
    <row r="2" spans="3:20" ht="15.75" thickBot="1" x14ac:dyDescent="0.3"/>
    <row r="3" spans="3:20" ht="15.75" thickBot="1" x14ac:dyDescent="0.3">
      <c r="C3" s="39" t="s">
        <v>15</v>
      </c>
      <c r="D3" s="66"/>
      <c r="F3" s="107" t="s">
        <v>68</v>
      </c>
      <c r="G3" s="108"/>
      <c r="H3" s="108"/>
      <c r="I3" s="109"/>
      <c r="J3" s="36"/>
      <c r="K3" s="47" t="s">
        <v>26</v>
      </c>
      <c r="L3" s="48" t="s">
        <v>25</v>
      </c>
      <c r="M3" s="48" t="s">
        <v>24</v>
      </c>
      <c r="R3" s="125"/>
      <c r="S3" s="126"/>
      <c r="T3" s="127"/>
    </row>
    <row r="4" spans="3:20" ht="15.75" thickBot="1" x14ac:dyDescent="0.3">
      <c r="C4" s="43" t="s">
        <v>14</v>
      </c>
      <c r="D4" s="67"/>
      <c r="F4" s="110"/>
      <c r="G4" s="111"/>
      <c r="H4" s="111"/>
      <c r="I4" s="112"/>
      <c r="J4" s="38"/>
      <c r="K4" s="54" t="s">
        <v>16</v>
      </c>
      <c r="L4" s="49" t="s">
        <v>31</v>
      </c>
      <c r="M4" s="60">
        <f>COUNTIF(I$28:I$36, "="&amp;L4)</f>
        <v>2</v>
      </c>
      <c r="R4" s="128"/>
      <c r="S4" s="129"/>
      <c r="T4" s="130"/>
    </row>
    <row r="5" spans="3:20" ht="15.75" thickBot="1" x14ac:dyDescent="0.3">
      <c r="C5" s="41" t="s">
        <v>13</v>
      </c>
      <c r="D5" s="68"/>
      <c r="E5" s="37"/>
      <c r="F5" s="110"/>
      <c r="G5" s="111"/>
      <c r="H5" s="111"/>
      <c r="I5" s="112"/>
      <c r="J5" s="38"/>
      <c r="K5" s="55" t="s">
        <v>17</v>
      </c>
      <c r="L5" s="49" t="s">
        <v>33</v>
      </c>
      <c r="M5" s="60">
        <f>COUNTIF(I$28:I$36, "="&amp;L5)</f>
        <v>0</v>
      </c>
      <c r="R5" s="128"/>
      <c r="S5" s="129"/>
      <c r="T5" s="130"/>
    </row>
    <row r="6" spans="3:20" ht="15.75" thickBot="1" x14ac:dyDescent="0.3">
      <c r="C6" s="43" t="s">
        <v>12</v>
      </c>
      <c r="D6" s="67"/>
      <c r="F6" s="110"/>
      <c r="G6" s="111"/>
      <c r="H6" s="111"/>
      <c r="I6" s="112"/>
      <c r="J6" s="38"/>
      <c r="K6" s="56" t="s">
        <v>18</v>
      </c>
      <c r="L6" s="50" t="s">
        <v>34</v>
      </c>
      <c r="M6" s="60">
        <f>COUNTIF(I$28:I$36, "="&amp;L6)</f>
        <v>0</v>
      </c>
      <c r="R6" s="131"/>
      <c r="S6" s="132"/>
      <c r="T6" s="133"/>
    </row>
    <row r="7" spans="3:20" ht="15.75" thickBot="1" x14ac:dyDescent="0.3">
      <c r="C7" s="41" t="s">
        <v>52</v>
      </c>
      <c r="D7" s="93">
        <v>9</v>
      </c>
      <c r="F7" s="104" t="s">
        <v>66</v>
      </c>
      <c r="G7" s="105"/>
      <c r="H7" s="105"/>
      <c r="I7" s="106"/>
      <c r="J7" s="36"/>
      <c r="K7" s="56" t="s">
        <v>19</v>
      </c>
      <c r="L7" s="50" t="s">
        <v>51</v>
      </c>
      <c r="M7" s="60">
        <f>COUNTIF(I$28:I$36, "="&amp;L7)</f>
        <v>2</v>
      </c>
    </row>
    <row r="8" spans="3:20" ht="15.75" thickBot="1" x14ac:dyDescent="0.3">
      <c r="C8" s="45" t="s">
        <v>53</v>
      </c>
      <c r="D8" s="94">
        <v>2</v>
      </c>
      <c r="F8" s="101" t="s">
        <v>67</v>
      </c>
      <c r="G8" s="102"/>
      <c r="H8" s="102"/>
      <c r="I8" s="103"/>
      <c r="J8" s="36"/>
      <c r="K8" s="56" t="s">
        <v>20</v>
      </c>
      <c r="L8" s="50" t="s">
        <v>38</v>
      </c>
      <c r="M8" s="60">
        <f>COUNTIF(I$28:I$36, "="&amp;L8)</f>
        <v>2</v>
      </c>
    </row>
    <row r="9" spans="3:20" ht="15.75" thickBot="1" x14ac:dyDescent="0.3">
      <c r="J9" s="36"/>
      <c r="K9" s="57" t="s">
        <v>21</v>
      </c>
      <c r="L9" s="51" t="s">
        <v>35</v>
      </c>
      <c r="M9" s="60">
        <f>COUNTIF(I$28:I$36, "="&amp;L9)</f>
        <v>2</v>
      </c>
    </row>
    <row r="10" spans="3:20" x14ac:dyDescent="0.25">
      <c r="C10" s="39" t="s">
        <v>49</v>
      </c>
      <c r="D10" s="40">
        <v>0.5</v>
      </c>
      <c r="F10" s="113" t="s">
        <v>69</v>
      </c>
      <c r="G10" s="114"/>
      <c r="H10" s="114"/>
      <c r="I10" s="115"/>
      <c r="J10" s="36"/>
      <c r="K10" s="57" t="s">
        <v>22</v>
      </c>
      <c r="L10" s="51" t="s">
        <v>32</v>
      </c>
      <c r="M10" s="60">
        <f>COUNTIF(I$28:I$36, "="&amp;L10)</f>
        <v>0</v>
      </c>
    </row>
    <row r="11" spans="3:20" x14ac:dyDescent="0.25">
      <c r="C11" s="43" t="s">
        <v>47</v>
      </c>
      <c r="D11" s="44">
        <v>0.4</v>
      </c>
      <c r="F11" s="104" t="s">
        <v>70</v>
      </c>
      <c r="G11" s="105"/>
      <c r="H11" s="105"/>
      <c r="I11" s="106"/>
      <c r="J11" s="36"/>
      <c r="K11" s="57" t="s">
        <v>23</v>
      </c>
      <c r="L11" s="51" t="s">
        <v>36</v>
      </c>
      <c r="M11" s="60">
        <f>COUNTIF(I$28:I$36, "="&amp;L11)</f>
        <v>0</v>
      </c>
    </row>
    <row r="12" spans="3:20" x14ac:dyDescent="0.25">
      <c r="C12" s="41" t="s">
        <v>44</v>
      </c>
      <c r="D12" s="42">
        <v>0.5</v>
      </c>
      <c r="F12" s="104" t="s">
        <v>72</v>
      </c>
      <c r="G12" s="105"/>
      <c r="H12" s="105"/>
      <c r="I12" s="106"/>
      <c r="J12" s="36"/>
      <c r="K12" s="58" t="s">
        <v>30</v>
      </c>
      <c r="L12" s="52" t="s">
        <v>37</v>
      </c>
      <c r="M12" s="60">
        <f>COUNTIF(I$28:I$36, "="&amp;L12)</f>
        <v>1</v>
      </c>
    </row>
    <row r="13" spans="3:20" ht="15.75" thickBot="1" x14ac:dyDescent="0.3">
      <c r="C13" s="45" t="s">
        <v>48</v>
      </c>
      <c r="D13" s="46">
        <v>0.4</v>
      </c>
      <c r="F13" s="101" t="s">
        <v>71</v>
      </c>
      <c r="G13" s="102"/>
      <c r="H13" s="102"/>
      <c r="I13" s="103"/>
      <c r="J13" s="36"/>
      <c r="K13" s="59" t="s">
        <v>29</v>
      </c>
      <c r="L13" s="53" t="s">
        <v>39</v>
      </c>
      <c r="M13" s="60">
        <f>COUNTIF(I$28:I$36, "="&amp;L13)</f>
        <v>0</v>
      </c>
    </row>
    <row r="14" spans="3:20" x14ac:dyDescent="0.25">
      <c r="J14" s="36"/>
      <c r="K14" s="118" t="s">
        <v>28</v>
      </c>
      <c r="L14" s="119"/>
      <c r="M14" s="61">
        <f>COUNTIF(M28:M36, "=FAIL")</f>
        <v>0</v>
      </c>
    </row>
    <row r="15" spans="3:20" x14ac:dyDescent="0.25">
      <c r="J15" s="36"/>
      <c r="K15" s="120" t="s">
        <v>27</v>
      </c>
      <c r="L15" s="121"/>
      <c r="M15" s="60">
        <f>COUNTIF(M28:M36, "=PASS")</f>
        <v>0</v>
      </c>
    </row>
    <row r="16" spans="3:20" x14ac:dyDescent="0.25">
      <c r="J16" s="36"/>
      <c r="K16" s="120" t="s">
        <v>40</v>
      </c>
      <c r="L16" s="121"/>
      <c r="M16" s="60">
        <f>COUNTIF(L28:L36, "=WRITE SUPP")</f>
        <v>0</v>
      </c>
    </row>
    <row r="17" spans="3:15" x14ac:dyDescent="0.25">
      <c r="J17" s="36"/>
      <c r="K17" s="120" t="s">
        <v>41</v>
      </c>
      <c r="L17" s="121"/>
      <c r="M17" s="62">
        <f>MAX(J28:J36)-MIN(J28:J36)</f>
        <v>0.41058823529411764</v>
      </c>
    </row>
    <row r="18" spans="3:15" x14ac:dyDescent="0.25">
      <c r="J18" s="36"/>
      <c r="K18" s="120" t="s">
        <v>42</v>
      </c>
      <c r="L18" s="121"/>
      <c r="M18" s="62">
        <f>AVERAGE(J28:J36)</f>
        <v>0.64784313725490206</v>
      </c>
    </row>
    <row r="19" spans="3:15" ht="15.75" thickBot="1" x14ac:dyDescent="0.3">
      <c r="J19" s="36"/>
      <c r="K19" s="116" t="s">
        <v>43</v>
      </c>
      <c r="L19" s="117"/>
      <c r="M19" s="63">
        <f>STDEV(J28:J36)</f>
        <v>0.12537975532350668</v>
      </c>
    </row>
    <row r="23" spans="3:15" ht="15.75" thickBot="1" x14ac:dyDescent="0.3"/>
    <row r="24" spans="3:15" ht="15.75" thickBot="1" x14ac:dyDescent="0.3">
      <c r="L24" s="100" t="s">
        <v>86</v>
      </c>
      <c r="M24" s="124"/>
      <c r="N24" s="99"/>
      <c r="O24" s="99"/>
    </row>
    <row r="25" spans="3:15" ht="15.75" thickBot="1" x14ac:dyDescent="0.3">
      <c r="D25" s="64" t="s">
        <v>3</v>
      </c>
      <c r="E25" s="65" t="s">
        <v>1</v>
      </c>
      <c r="F25" s="65" t="s">
        <v>2</v>
      </c>
      <c r="G25" s="65" t="s">
        <v>46</v>
      </c>
      <c r="H25" s="65" t="s">
        <v>45</v>
      </c>
      <c r="I25" s="65" t="s">
        <v>25</v>
      </c>
      <c r="J25" s="70" t="s">
        <v>9</v>
      </c>
      <c r="K25" s="65" t="s">
        <v>4</v>
      </c>
      <c r="L25" s="73" t="s">
        <v>55</v>
      </c>
      <c r="M25" s="70" t="s">
        <v>50</v>
      </c>
      <c r="N25" s="123" t="str">
        <f ca="1">'Test 1'!D3</f>
        <v>Test 1</v>
      </c>
      <c r="O25" s="123" t="str">
        <f ca="1">'Test 2'!D3</f>
        <v>Test 2</v>
      </c>
    </row>
    <row r="26" spans="3:15" ht="15.75" thickBot="1" x14ac:dyDescent="0.3">
      <c r="C26" s="26" t="s">
        <v>11</v>
      </c>
      <c r="D26" s="27"/>
      <c r="E26" s="28"/>
      <c r="F26" s="28"/>
      <c r="G26" s="28"/>
      <c r="H26" s="28"/>
      <c r="I26" s="28"/>
      <c r="J26" s="71">
        <v>1</v>
      </c>
      <c r="K26" s="22">
        <v>0.4</v>
      </c>
      <c r="L26" s="74">
        <v>0.6</v>
      </c>
      <c r="M26" s="71"/>
      <c r="N26" s="23"/>
      <c r="O26" s="23"/>
    </row>
    <row r="27" spans="3:15" ht="15.75" thickBot="1" x14ac:dyDescent="0.3">
      <c r="C27" s="30" t="s">
        <v>54</v>
      </c>
      <c r="D27" s="31"/>
      <c r="E27" s="32"/>
      <c r="F27" s="32"/>
      <c r="G27" s="32"/>
      <c r="H27" s="32"/>
      <c r="I27" s="32"/>
      <c r="J27" s="72"/>
      <c r="K27" s="69"/>
      <c r="L27" s="75"/>
      <c r="M27" s="76">
        <f>SUM(N27:O27)</f>
        <v>18</v>
      </c>
      <c r="N27" s="33">
        <f>SUM('Test 1'!L6:U6)</f>
        <v>17</v>
      </c>
      <c r="O27" s="33">
        <f>'Test 2'!H6</f>
        <v>1</v>
      </c>
    </row>
    <row r="28" spans="3:15" x14ac:dyDescent="0.25">
      <c r="D28" s="77" t="s">
        <v>31</v>
      </c>
      <c r="E28" s="77" t="s">
        <v>77</v>
      </c>
      <c r="F28" s="91" t="s">
        <v>91</v>
      </c>
      <c r="G28" s="78" t="str">
        <f>IF(AND(K28&gt;=D$13, J28&gt;=D$11), IF(OR(K28&lt;D$12, J28&lt;D$10), "WRITE SUPP", "NO SUPP"), "NO SUPP")</f>
        <v>NO SUPP</v>
      </c>
      <c r="H28" s="78" t="str">
        <f>IF(K28&gt;=D$12, IF(J28&gt;=D$10, "PASS", "FAIL"), "FAIL")</f>
        <v>FAIL</v>
      </c>
      <c r="I28" s="78" t="str">
        <f>IF(J28&gt;=0.8, L$4, IF(J28&gt;=0.75, L$5, IF(J28&gt;=0.7, L$6, IF(J28&gt;=0.65, L$7, IF(J28&gt;=0.6, L$8, IF(J28&gt;=0.55, L$9, IF(J28&gt;=0.5, L$10, IF(J28&gt;=0.45, L$11, IF(J28&gt;=0.4, L$12, L$13)))))))))</f>
        <v>D</v>
      </c>
      <c r="J28" s="92">
        <f>K$26*K28+L$26*L28</f>
        <v>0.42352941176470588</v>
      </c>
      <c r="K28" s="92">
        <f>Exam!H7</f>
        <v>0</v>
      </c>
      <c r="L28" s="92">
        <f>SUM(N28)</f>
        <v>0.70588235294117652</v>
      </c>
      <c r="M28" s="92">
        <f>SUM(N28:O28)</f>
        <v>0.70588235294117652</v>
      </c>
      <c r="N28" s="92">
        <f>'Test 1'!H7</f>
        <v>0.70588235294117652</v>
      </c>
      <c r="O28" s="92">
        <f>'Test 2'!H7</f>
        <v>0</v>
      </c>
    </row>
    <row r="29" spans="3:15" x14ac:dyDescent="0.25">
      <c r="D29" s="77" t="s">
        <v>51</v>
      </c>
      <c r="E29" s="77" t="s">
        <v>78</v>
      </c>
      <c r="F29" s="91" t="s">
        <v>92</v>
      </c>
      <c r="G29" s="78" t="str">
        <f t="shared" ref="G29:G36" si="0">IF(AND(K29&gt;=D$13, J29&gt;=D$11), IF(OR(K29&lt;D$12, J29&lt;D$10), "WRITE SUPP", "NO SUPP"), "NO SUPP")</f>
        <v>NO SUPP</v>
      </c>
      <c r="H29" s="78" t="str">
        <f t="shared" ref="H29:H36" si="1">IF(K29&gt;=D$12, IF(J29&gt;=D$10, "PASS", "FAIL"), "FAIL")</f>
        <v>PASS</v>
      </c>
      <c r="I29" s="78" t="str">
        <f t="shared" ref="I29:I36" si="2">IF(J29&gt;=0.8, L$4, IF(J29&gt;=0.75, L$5, IF(J29&gt;=0.7, L$6, IF(J29&gt;=0.65, L$7, IF(J29&gt;=0.6, L$8, IF(J29&gt;=0.55, L$9, IF(J29&gt;=0.5, L$10, IF(J29&gt;=0.45, L$11, IF(J29&gt;=0.4, L$12, L$13)))))))))</f>
        <v>B</v>
      </c>
      <c r="J29" s="92">
        <f t="shared" ref="J29:J36" si="3">K$26*K29+L$26*L29</f>
        <v>0.65152941176470591</v>
      </c>
      <c r="K29" s="92">
        <f>Exam!H8</f>
        <v>0.56999999999999995</v>
      </c>
      <c r="L29" s="92">
        <f t="shared" ref="L29:L36" si="4">SUM(N29)</f>
        <v>0.70588235294117652</v>
      </c>
      <c r="M29" s="92">
        <f>SUM(N29:O29)</f>
        <v>0.70588235294117652</v>
      </c>
      <c r="N29" s="92">
        <f>'Test 1'!H8</f>
        <v>0.70588235294117652</v>
      </c>
      <c r="O29" s="92">
        <f>'Test 2'!H8</f>
        <v>0</v>
      </c>
    </row>
    <row r="30" spans="3:15" x14ac:dyDescent="0.25">
      <c r="D30" s="77" t="s">
        <v>32</v>
      </c>
      <c r="E30" s="77" t="s">
        <v>79</v>
      </c>
      <c r="F30" s="91" t="s">
        <v>93</v>
      </c>
      <c r="G30" s="78" t="str">
        <f t="shared" si="0"/>
        <v>NO SUPP</v>
      </c>
      <c r="H30" s="78" t="str">
        <f t="shared" si="1"/>
        <v>PASS</v>
      </c>
      <c r="I30" s="78" t="str">
        <f t="shared" si="2"/>
        <v>A</v>
      </c>
      <c r="J30" s="92">
        <f t="shared" si="3"/>
        <v>0.83411764705882352</v>
      </c>
      <c r="K30" s="92">
        <f>Exam!H9</f>
        <v>0.85</v>
      </c>
      <c r="L30" s="92">
        <f t="shared" si="4"/>
        <v>0.82352941176470584</v>
      </c>
      <c r="M30" s="92">
        <f>SUM(N30:O30)</f>
        <v>0.82352941176470584</v>
      </c>
      <c r="N30" s="92">
        <f>'Test 1'!H9</f>
        <v>0.82352941176470584</v>
      </c>
      <c r="O30" s="92">
        <f>'Test 2'!H9</f>
        <v>0</v>
      </c>
    </row>
    <row r="31" spans="3:15" x14ac:dyDescent="0.25">
      <c r="D31" s="77" t="s">
        <v>37</v>
      </c>
      <c r="E31" s="77" t="s">
        <v>80</v>
      </c>
      <c r="F31" s="91" t="s">
        <v>94</v>
      </c>
      <c r="G31" s="78" t="str">
        <f t="shared" si="0"/>
        <v>WRITE SUPP</v>
      </c>
      <c r="H31" s="78" t="str">
        <f t="shared" si="1"/>
        <v>FAIL</v>
      </c>
      <c r="I31" s="78" t="str">
        <f t="shared" si="2"/>
        <v>C+</v>
      </c>
      <c r="J31" s="92">
        <f t="shared" si="3"/>
        <v>0.56823529411764706</v>
      </c>
      <c r="K31" s="92">
        <f>Exam!H10</f>
        <v>0.45</v>
      </c>
      <c r="L31" s="92">
        <f t="shared" si="4"/>
        <v>0.6470588235294118</v>
      </c>
      <c r="M31" s="92">
        <f>SUM(N31:O31)</f>
        <v>0.6470588235294118</v>
      </c>
      <c r="N31" s="92">
        <f>'Test 1'!H10</f>
        <v>0.6470588235294118</v>
      </c>
      <c r="O31" s="92">
        <f>'Test 2'!H10</f>
        <v>0</v>
      </c>
    </row>
    <row r="32" spans="3:15" x14ac:dyDescent="0.25">
      <c r="D32" s="77" t="s">
        <v>87</v>
      </c>
      <c r="E32" s="77" t="s">
        <v>81</v>
      </c>
      <c r="F32" s="91" t="s">
        <v>95</v>
      </c>
      <c r="G32" s="78" t="str">
        <f t="shared" si="0"/>
        <v>NO SUPP</v>
      </c>
      <c r="H32" s="78" t="str">
        <f t="shared" si="1"/>
        <v>PASS</v>
      </c>
      <c r="I32" s="78" t="str">
        <f t="shared" si="2"/>
        <v>B-</v>
      </c>
      <c r="J32" s="92">
        <f t="shared" si="3"/>
        <v>0.64823529411764702</v>
      </c>
      <c r="K32" s="92">
        <f>Exam!H11</f>
        <v>0.65</v>
      </c>
      <c r="L32" s="92">
        <f t="shared" si="4"/>
        <v>0.6470588235294118</v>
      </c>
      <c r="M32" s="92">
        <f>SUM(N32:O32)</f>
        <v>0.6470588235294118</v>
      </c>
      <c r="N32" s="92">
        <f>'Test 1'!H11</f>
        <v>0.6470588235294118</v>
      </c>
      <c r="O32" s="92">
        <f>'Test 2'!H11</f>
        <v>0</v>
      </c>
    </row>
    <row r="33" spans="4:15" x14ac:dyDescent="0.25">
      <c r="D33" s="77" t="s">
        <v>39</v>
      </c>
      <c r="E33" s="77" t="s">
        <v>82</v>
      </c>
      <c r="F33" s="91" t="s">
        <v>96</v>
      </c>
      <c r="G33" s="78" t="str">
        <f t="shared" si="0"/>
        <v>NO SUPP</v>
      </c>
      <c r="H33" s="78" t="str">
        <f t="shared" si="1"/>
        <v>PASS</v>
      </c>
      <c r="I33" s="78" t="str">
        <f t="shared" si="2"/>
        <v>C+</v>
      </c>
      <c r="J33" s="92">
        <f t="shared" si="3"/>
        <v>0.58705882352941174</v>
      </c>
      <c r="K33" s="92">
        <f>Exam!H12</f>
        <v>0.85</v>
      </c>
      <c r="L33" s="92">
        <f t="shared" si="4"/>
        <v>0.41176470588235292</v>
      </c>
      <c r="M33" s="92">
        <f>SUM(N33:O33)</f>
        <v>0.41176470588235292</v>
      </c>
      <c r="N33" s="92">
        <f>'Test 1'!H12</f>
        <v>0.41176470588235292</v>
      </c>
      <c r="O33" s="92">
        <f>'Test 2'!H12</f>
        <v>0</v>
      </c>
    </row>
    <row r="34" spans="4:15" x14ac:dyDescent="0.25">
      <c r="D34" s="77" t="s">
        <v>88</v>
      </c>
      <c r="E34" s="77" t="s">
        <v>83</v>
      </c>
      <c r="F34" s="91" t="s">
        <v>97</v>
      </c>
      <c r="G34" s="78" t="str">
        <f t="shared" si="0"/>
        <v>NO SUPP</v>
      </c>
      <c r="H34" s="78" t="str">
        <f t="shared" si="1"/>
        <v>PASS</v>
      </c>
      <c r="I34" s="78" t="str">
        <f t="shared" si="2"/>
        <v>B-</v>
      </c>
      <c r="J34" s="92">
        <f t="shared" si="3"/>
        <v>0.61764705882352944</v>
      </c>
      <c r="K34" s="92">
        <f>Exam!H13</f>
        <v>0.75</v>
      </c>
      <c r="L34" s="92">
        <f t="shared" si="4"/>
        <v>0.52941176470588236</v>
      </c>
      <c r="M34" s="92">
        <f>SUM(N34:O34)</f>
        <v>0.52941176470588236</v>
      </c>
      <c r="N34" s="92">
        <f>'Test 1'!H13</f>
        <v>0.52941176470588236</v>
      </c>
      <c r="O34" s="92">
        <f>'Test 2'!H13</f>
        <v>0</v>
      </c>
    </row>
    <row r="35" spans="4:15" x14ac:dyDescent="0.25">
      <c r="D35" s="77" t="s">
        <v>89</v>
      </c>
      <c r="E35" s="77" t="s">
        <v>84</v>
      </c>
      <c r="F35" s="91" t="s">
        <v>98</v>
      </c>
      <c r="G35" s="78" t="str">
        <f t="shared" si="0"/>
        <v>NO SUPP</v>
      </c>
      <c r="H35" s="78" t="str">
        <f t="shared" si="1"/>
        <v>PASS</v>
      </c>
      <c r="I35" s="78" t="str">
        <f t="shared" si="2"/>
        <v>B</v>
      </c>
      <c r="J35" s="92">
        <f t="shared" si="3"/>
        <v>0.68352941176470594</v>
      </c>
      <c r="K35" s="92">
        <f>Exam!H14</f>
        <v>0.65</v>
      </c>
      <c r="L35" s="92">
        <f t="shared" si="4"/>
        <v>0.70588235294117652</v>
      </c>
      <c r="M35" s="92">
        <f>SUM(N35:O35)</f>
        <v>0.70588235294117652</v>
      </c>
      <c r="N35" s="92">
        <f>'Test 1'!H14</f>
        <v>0.70588235294117652</v>
      </c>
      <c r="O35" s="92">
        <f>'Test 2'!H14</f>
        <v>0</v>
      </c>
    </row>
    <row r="36" spans="4:15" x14ac:dyDescent="0.25">
      <c r="D36" s="77" t="s">
        <v>90</v>
      </c>
      <c r="E36" s="77" t="s">
        <v>85</v>
      </c>
      <c r="F36" s="91" t="s">
        <v>99</v>
      </c>
      <c r="G36" s="78" t="str">
        <f t="shared" si="0"/>
        <v>NO SUPP</v>
      </c>
      <c r="H36" s="78" t="str">
        <f t="shared" si="1"/>
        <v>PASS</v>
      </c>
      <c r="I36" s="78" t="str">
        <f t="shared" si="2"/>
        <v>A</v>
      </c>
      <c r="J36" s="92">
        <f t="shared" si="3"/>
        <v>0.81670588235294117</v>
      </c>
      <c r="K36" s="92">
        <f>Exam!H15</f>
        <v>0.63</v>
      </c>
      <c r="L36" s="92">
        <f t="shared" si="4"/>
        <v>0.94117647058823528</v>
      </c>
      <c r="M36" s="92">
        <f>SUM(N36:O36)</f>
        <v>0.94117647058823528</v>
      </c>
      <c r="N36" s="92">
        <f>'Test 1'!H15</f>
        <v>0.94117647058823528</v>
      </c>
      <c r="O36" s="92">
        <f>'Test 2'!H15</f>
        <v>0</v>
      </c>
    </row>
  </sheetData>
  <dataConsolidate/>
  <mergeCells count="14">
    <mergeCell ref="L24:M24"/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I28">
    <cfRule type="containsText" dxfId="53" priority="3485" operator="containsText" text="A">
      <formula>NOT(ISERROR(SEARCH("A",I28)))</formula>
    </cfRule>
  </conditionalFormatting>
  <conditionalFormatting sqref="G28">
    <cfRule type="containsText" dxfId="52" priority="3484" operator="containsText" text="WRITE SUPP">
      <formula>NOT(ISERROR(SEARCH("WRITE SUPP",G28)))</formula>
    </cfRule>
  </conditionalFormatting>
  <conditionalFormatting sqref="J28">
    <cfRule type="cellIs" dxfId="51" priority="3486" operator="lessThan">
      <formula>$D$10</formula>
    </cfRule>
  </conditionalFormatting>
  <conditionalFormatting sqref="K28">
    <cfRule type="containsText" dxfId="50" priority="3480" operator="containsText" text="INVALID MARK">
      <formula>NOT(ISERROR(SEARCH("INVALID MARK",K28)))</formula>
    </cfRule>
    <cfRule type="cellIs" dxfId="49" priority="3487" operator="lessThan">
      <formula>$D$12</formula>
    </cfRule>
    <cfRule type="cellIs" priority="3488" operator="greaterThanOrEqual">
      <formula>$D$12</formula>
    </cfRule>
    <cfRule type="expression" dxfId="48" priority="3489">
      <formula>"&gt;=$D$10"</formula>
    </cfRule>
  </conditionalFormatting>
  <conditionalFormatting sqref="N28:N36">
    <cfRule type="containsText" dxfId="47" priority="3481" operator="containsText" text="INVALID MARK">
      <formula>NOT(ISERROR(SEARCH("INVALID MARK",N28)))</formula>
    </cfRule>
    <cfRule type="containsText" dxfId="46" priority="3482" operator="containsText" text="INVALID ENTRY">
      <formula>NOT(ISERROR(SEARCH("INVALID ENTRY",N28)))</formula>
    </cfRule>
    <cfRule type="containsText" dxfId="45" priority="3483" operator="containsText" text="MISSING MARK">
      <formula>NOT(ISERROR(SEARCH("MISSING MARK",N28)))</formula>
    </cfRule>
  </conditionalFormatting>
  <conditionalFormatting sqref="H28">
    <cfRule type="containsText" dxfId="44" priority="3479" operator="containsText" text="FAIL">
      <formula>NOT(ISERROR(SEARCH("FAIL",H28)))</formula>
    </cfRule>
  </conditionalFormatting>
  <conditionalFormatting sqref="I28">
    <cfRule type="containsText" dxfId="43" priority="3235" operator="containsText" text="F">
      <formula>NOT(ISERROR(SEARCH("F",I28)))</formula>
    </cfRule>
    <cfRule type="containsText" dxfId="42" priority="3236" operator="containsText" text="D">
      <formula>NOT(ISERROR(SEARCH("D",I28)))</formula>
    </cfRule>
    <cfRule type="containsText" dxfId="41" priority="3237" operator="containsText" text="C">
      <formula>NOT(ISERROR(SEARCH("C",I28)))</formula>
    </cfRule>
    <cfRule type="containsText" dxfId="40" priority="3238" operator="containsText" text="B">
      <formula>NOT(ISERROR(SEARCH("B",I28)))</formula>
    </cfRule>
  </conditionalFormatting>
  <conditionalFormatting sqref="I29:I36">
    <cfRule type="containsText" dxfId="39" priority="44" operator="containsText" text="A">
      <formula>NOT(ISERROR(SEARCH("A",I29)))</formula>
    </cfRule>
  </conditionalFormatting>
  <conditionalFormatting sqref="G29:G36">
    <cfRule type="containsText" dxfId="38" priority="43" operator="containsText" text="WRITE SUPP">
      <formula>NOT(ISERROR(SEARCH("WRITE SUPP",G29)))</formula>
    </cfRule>
  </conditionalFormatting>
  <conditionalFormatting sqref="J29:J36">
    <cfRule type="cellIs" dxfId="37" priority="45" operator="lessThan">
      <formula>$D$10</formula>
    </cfRule>
  </conditionalFormatting>
  <conditionalFormatting sqref="K29:K36">
    <cfRule type="containsText" dxfId="36" priority="39" operator="containsText" text="INVALID MARK">
      <formula>NOT(ISERROR(SEARCH("INVALID MARK",K29)))</formula>
    </cfRule>
    <cfRule type="cellIs" dxfId="35" priority="46" operator="lessThan">
      <formula>$D$12</formula>
    </cfRule>
    <cfRule type="cellIs" priority="47" operator="greaterThanOrEqual">
      <formula>$D$12</formula>
    </cfRule>
    <cfRule type="expression" dxfId="34" priority="48">
      <formula>"&gt;=$D$10"</formula>
    </cfRule>
  </conditionalFormatting>
  <conditionalFormatting sqref="H29:H36">
    <cfRule type="containsText" dxfId="33" priority="38" operator="containsText" text="FAIL">
      <formula>NOT(ISERROR(SEARCH("FAIL",H29)))</formula>
    </cfRule>
  </conditionalFormatting>
  <conditionalFormatting sqref="I29:I36">
    <cfRule type="containsText" dxfId="32" priority="34" operator="containsText" text="F">
      <formula>NOT(ISERROR(SEARCH("F",I29)))</formula>
    </cfRule>
    <cfRule type="containsText" dxfId="31" priority="35" operator="containsText" text="D">
      <formula>NOT(ISERROR(SEARCH("D",I29)))</formula>
    </cfRule>
    <cfRule type="containsText" dxfId="30" priority="36" operator="containsText" text="C">
      <formula>NOT(ISERROR(SEARCH("C",I29)))</formula>
    </cfRule>
    <cfRule type="containsText" dxfId="29" priority="37" operator="containsText" text="B">
      <formula>NOT(ISERROR(SEARCH("B",I29)))</formula>
    </cfRule>
  </conditionalFormatting>
  <conditionalFormatting sqref="O28:O36">
    <cfRule type="containsText" dxfId="2" priority="1" operator="containsText" text="INVALID MARK">
      <formula>NOT(ISERROR(SEARCH("INVALID MARK",O28)))</formula>
    </cfRule>
    <cfRule type="containsText" dxfId="1" priority="2" operator="containsText" text="INVALID ENTRY">
      <formula>NOT(ISERROR(SEARCH("INVALID ENTRY",O28)))</formula>
    </cfRule>
    <cfRule type="containsText" dxfId="0" priority="3" operator="containsText" text="MISSING MARK">
      <formula>NOT(ISERROR(SEARCH("MISSING MARK",O28)))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5"/>
  <sheetViews>
    <sheetView zoomScaleNormal="100" workbookViewId="0">
      <selection activeCell="M20" sqref="M20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75</v>
      </c>
      <c r="G3" s="4">
        <v>0</v>
      </c>
    </row>
    <row r="4" spans="3:126" ht="123.75" customHeight="1" thickBot="1" x14ac:dyDescent="0.3">
      <c r="C4" s="21"/>
      <c r="F4" s="122" t="s">
        <v>76</v>
      </c>
      <c r="G4" s="122"/>
      <c r="K4" s="98" t="s">
        <v>73</v>
      </c>
      <c r="L4" s="95" t="s">
        <v>74</v>
      </c>
      <c r="M4" s="95"/>
      <c r="N4" s="95"/>
      <c r="O4" s="96"/>
      <c r="P4" s="96"/>
      <c r="Q4" s="96"/>
      <c r="R4" s="96"/>
      <c r="S4" s="96"/>
      <c r="T4" s="96"/>
      <c r="U4" s="97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4" t="s">
        <v>3</v>
      </c>
      <c r="F5" s="65" t="s">
        <v>1</v>
      </c>
      <c r="G5" s="65" t="s">
        <v>2</v>
      </c>
      <c r="H5" s="85" t="s">
        <v>8</v>
      </c>
      <c r="I5" s="86" t="s">
        <v>0</v>
      </c>
      <c r="J5" s="87" t="s">
        <v>7</v>
      </c>
      <c r="K5" s="88" t="s">
        <v>10</v>
      </c>
      <c r="L5" s="89" t="s">
        <v>56</v>
      </c>
      <c r="M5" s="89" t="s">
        <v>57</v>
      </c>
      <c r="N5" s="89" t="s">
        <v>58</v>
      </c>
      <c r="O5" s="89" t="s">
        <v>59</v>
      </c>
      <c r="P5" s="89" t="s">
        <v>60</v>
      </c>
      <c r="Q5" s="89" t="s">
        <v>61</v>
      </c>
      <c r="R5" s="89" t="s">
        <v>62</v>
      </c>
      <c r="S5" s="89" t="s">
        <v>63</v>
      </c>
      <c r="T5" s="89" t="s">
        <v>64</v>
      </c>
      <c r="U5" s="89" t="s">
        <v>65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9" t="s">
        <v>5</v>
      </c>
      <c r="E6" s="80"/>
      <c r="F6" s="80"/>
      <c r="G6" s="80"/>
      <c r="H6" s="81">
        <v>1</v>
      </c>
      <c r="I6" s="80">
        <f>K6</f>
        <v>17</v>
      </c>
      <c r="J6" s="82"/>
      <c r="K6" s="83">
        <f t="shared" ref="K6" si="0">SUM(L6:U6)</f>
        <v>17</v>
      </c>
      <c r="L6" s="84">
        <v>10</v>
      </c>
      <c r="M6" s="84">
        <v>5</v>
      </c>
      <c r="N6" s="84">
        <v>2</v>
      </c>
      <c r="O6" s="84"/>
      <c r="P6" s="84"/>
      <c r="Q6" s="84"/>
      <c r="R6" s="84"/>
      <c r="S6" s="84"/>
      <c r="T6" s="84"/>
      <c r="U6" s="84"/>
      <c r="V6" s="35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IF(AND(H7&gt;=G$3, H7 &gt; 0), "PASS", "FAIL")</f>
        <v>PASS</v>
      </c>
      <c r="E7" s="2" t="str">
        <f>'Final Marks'!D28</f>
        <v>A</v>
      </c>
      <c r="F7" s="2" t="str">
        <f>'Final Marks'!E28</f>
        <v>a</v>
      </c>
      <c r="G7" s="2" t="str">
        <f>'Final Marks'!F28</f>
        <v>1</v>
      </c>
      <c r="H7" s="24">
        <f t="shared" ref="H7" si="1">IF(K7/K$6-J7&gt;=0, K7/K$6-J7, 0)</f>
        <v>0.70588235294117652</v>
      </c>
      <c r="I7" s="20">
        <f>IF(ISOVERMAX(L7:U7),"INVALID MARK",IF(COUNT(L7:U7)=COUNT(L$6:U$6),IFERROR(H7*K$6,),IF(COUNT(L7:U7)&lt;COUNT(L$6:U$6),"MISSING MARK","INVALID ENTRY")))</f>
        <v>12</v>
      </c>
      <c r="J7" s="29">
        <v>0</v>
      </c>
      <c r="K7" s="25">
        <f t="shared" ref="K7" si="2">SUM(L7:U7)</f>
        <v>12</v>
      </c>
      <c r="L7" s="9">
        <v>8</v>
      </c>
      <c r="M7" s="9">
        <v>3</v>
      </c>
      <c r="N7" s="9">
        <v>1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5" si="3">IF(AND(H8&gt;=G$3, H8 &gt; 0), "PASS", "FAIL")</f>
        <v>PASS</v>
      </c>
      <c r="E8" s="2" t="str">
        <f>'Final Marks'!D29</f>
        <v>B</v>
      </c>
      <c r="F8" s="2" t="str">
        <f>'Final Marks'!E29</f>
        <v>b</v>
      </c>
      <c r="G8" s="2" t="str">
        <f>'Final Marks'!F29</f>
        <v>2</v>
      </c>
      <c r="H8" s="24">
        <f t="shared" ref="H8:H15" si="4">IF(K8/K$6-J8&gt;=0, K8/K$6-J8, 0)</f>
        <v>0.70588235294117652</v>
      </c>
      <c r="I8" s="20">
        <f>IF(ISOVERMAX(L8:U8),"INVALID MARK",IF(COUNT(L8:U8)=COUNT(L$6:U$6),IFERROR(H8*K$6,),IF(COUNT(L8:U8)&lt;COUNT(L$6:U$6),"MISSING MARK","INVALID ENTRY")))</f>
        <v>12</v>
      </c>
      <c r="J8" s="29">
        <v>0</v>
      </c>
      <c r="K8" s="25">
        <f t="shared" ref="K8:K15" si="5">SUM(L8:U8)</f>
        <v>12</v>
      </c>
      <c r="L8" s="9">
        <v>6</v>
      </c>
      <c r="M8" s="9">
        <v>5</v>
      </c>
      <c r="N8" s="9">
        <v>1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C</v>
      </c>
      <c r="F9" s="2" t="str">
        <f>'Final Marks'!E30</f>
        <v>c</v>
      </c>
      <c r="G9" s="2" t="str">
        <f>'Final Marks'!F30</f>
        <v>3</v>
      </c>
      <c r="H9" s="24">
        <f t="shared" si="4"/>
        <v>0.82352941176470584</v>
      </c>
      <c r="I9" s="20">
        <f>IF(ISOVERMAX(L9:U9),"INVALID MARK",IF(COUNT(L9:U9)=COUNT(L$6:U$6),IFERROR(H9*K$6,),IF(COUNT(L9:U9)&lt;COUNT(L$6:U$6),"MISSING MARK","INVALID ENTRY")))</f>
        <v>14</v>
      </c>
      <c r="J9" s="29">
        <v>0</v>
      </c>
      <c r="K9" s="25">
        <f t="shared" si="5"/>
        <v>14</v>
      </c>
      <c r="L9" s="9">
        <v>10</v>
      </c>
      <c r="M9" s="9">
        <v>4</v>
      </c>
      <c r="N9" s="9">
        <v>0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D</v>
      </c>
      <c r="F10" s="2" t="str">
        <f>'Final Marks'!E31</f>
        <v>d</v>
      </c>
      <c r="G10" s="2" t="str">
        <f>'Final Marks'!F31</f>
        <v>4</v>
      </c>
      <c r="H10" s="24">
        <f t="shared" si="4"/>
        <v>0.6470588235294118</v>
      </c>
      <c r="I10" s="20">
        <f>IF(ISOVERMAX(L10:U10),"INVALID MARK",IF(COUNT(L10:U10)=COUNT(L$6:U$6),IFERROR(H10*K$6,),IF(COUNT(L10:U10)&lt;COUNT(L$6:U$6),"MISSING MARK","INVALID ENTRY")))</f>
        <v>11</v>
      </c>
      <c r="J10" s="29">
        <v>0</v>
      </c>
      <c r="K10" s="25">
        <f t="shared" si="5"/>
        <v>11</v>
      </c>
      <c r="L10" s="9">
        <v>7</v>
      </c>
      <c r="M10" s="9">
        <v>2</v>
      </c>
      <c r="N10" s="9">
        <v>2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si="3"/>
        <v>PASS</v>
      </c>
      <c r="E11" s="2" t="str">
        <f>'Final Marks'!D32</f>
        <v>E</v>
      </c>
      <c r="F11" s="2" t="str">
        <f>'Final Marks'!E32</f>
        <v>e</v>
      </c>
      <c r="G11" s="2" t="str">
        <f>'Final Marks'!F32</f>
        <v>5</v>
      </c>
      <c r="H11" s="24">
        <f t="shared" si="4"/>
        <v>0.6470588235294118</v>
      </c>
      <c r="I11" s="20">
        <f>IF(ISOVERMAX(L11:U11),"INVALID MARK",IF(COUNT(L11:U11)=COUNT(L$6:U$6),IFERROR(H11*K$6,),IF(COUNT(L11:U11)&lt;COUNT(L$6:U$6),"MISSING MARK","INVALID ENTRY")))</f>
        <v>11</v>
      </c>
      <c r="J11" s="29">
        <v>0</v>
      </c>
      <c r="K11" s="25">
        <f t="shared" si="5"/>
        <v>11</v>
      </c>
      <c r="L11" s="9">
        <v>5</v>
      </c>
      <c r="M11" s="9">
        <v>5</v>
      </c>
      <c r="N11" s="9">
        <v>1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3"/>
        <v>PASS</v>
      </c>
      <c r="E12" s="2" t="str">
        <f>'Final Marks'!D33</f>
        <v>F</v>
      </c>
      <c r="F12" s="2" t="str">
        <f>'Final Marks'!E33</f>
        <v>f</v>
      </c>
      <c r="G12" s="2" t="str">
        <f>'Final Marks'!F33</f>
        <v>6</v>
      </c>
      <c r="H12" s="24">
        <f t="shared" si="4"/>
        <v>0.41176470588235292</v>
      </c>
      <c r="I12" s="20">
        <f>IF(ISOVERMAX(L12:U12),"INVALID MARK",IF(COUNT(L12:U12)=COUNT(L$6:U$6),IFERROR(H12*K$6,),IF(COUNT(L12:U12)&lt;COUNT(L$6:U$6),"MISSING MARK","INVALID ENTRY")))</f>
        <v>7</v>
      </c>
      <c r="J12" s="29">
        <v>0</v>
      </c>
      <c r="K12" s="25">
        <f t="shared" si="5"/>
        <v>7</v>
      </c>
      <c r="L12" s="9">
        <v>5</v>
      </c>
      <c r="M12" s="9">
        <v>0</v>
      </c>
      <c r="N12" s="9">
        <v>2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3"/>
        <v>PASS</v>
      </c>
      <c r="E13" s="2" t="str">
        <f>'Final Marks'!D34</f>
        <v>G</v>
      </c>
      <c r="F13" s="2" t="str">
        <f>'Final Marks'!E34</f>
        <v>g</v>
      </c>
      <c r="G13" s="2" t="str">
        <f>'Final Marks'!F34</f>
        <v>7</v>
      </c>
      <c r="H13" s="24">
        <f t="shared" si="4"/>
        <v>0.52941176470588236</v>
      </c>
      <c r="I13" s="20">
        <f>IF(ISOVERMAX(L13:U13),"INVALID MARK",IF(COUNT(L13:U13)=COUNT(L$6:U$6),IFERROR(H13*K$6,),IF(COUNT(L13:U13)&lt;COUNT(L$6:U$6),"MISSING MARK","INVALID ENTRY")))</f>
        <v>9</v>
      </c>
      <c r="J13" s="29">
        <v>0</v>
      </c>
      <c r="K13" s="25">
        <f t="shared" si="5"/>
        <v>9</v>
      </c>
      <c r="L13" s="9">
        <v>3</v>
      </c>
      <c r="M13" s="9">
        <v>4</v>
      </c>
      <c r="N13" s="9">
        <v>2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3"/>
        <v>PASS</v>
      </c>
      <c r="E14" s="2" t="str">
        <f>'Final Marks'!D35</f>
        <v>H</v>
      </c>
      <c r="F14" s="2" t="str">
        <f>'Final Marks'!E35</f>
        <v>h</v>
      </c>
      <c r="G14" s="2" t="str">
        <f>'Final Marks'!F35</f>
        <v>8</v>
      </c>
      <c r="H14" s="24">
        <f t="shared" si="4"/>
        <v>0.70588235294117652</v>
      </c>
      <c r="I14" s="20">
        <f>IF(ISOVERMAX(L14:U14),"INVALID MARK",IF(COUNT(L14:U14)=COUNT(L$6:U$6),IFERROR(H14*K$6,),IF(COUNT(L14:U14)&lt;COUNT(L$6:U$6),"MISSING MARK","INVALID ENTRY")))</f>
        <v>12</v>
      </c>
      <c r="J14" s="29">
        <v>0</v>
      </c>
      <c r="K14" s="25">
        <f t="shared" si="5"/>
        <v>12</v>
      </c>
      <c r="L14" s="9">
        <v>7</v>
      </c>
      <c r="M14" s="9">
        <v>3</v>
      </c>
      <c r="N14" s="9">
        <v>2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3"/>
        <v>PASS</v>
      </c>
      <c r="E15" s="2" t="str">
        <f>'Final Marks'!D36</f>
        <v>I</v>
      </c>
      <c r="F15" s="2" t="str">
        <f>'Final Marks'!E36</f>
        <v>i</v>
      </c>
      <c r="G15" s="2" t="str">
        <f>'Final Marks'!F36</f>
        <v>9</v>
      </c>
      <c r="H15" s="24">
        <f t="shared" si="4"/>
        <v>0.94117647058823528</v>
      </c>
      <c r="I15" s="20">
        <f>IF(ISOVERMAX(L15:U15),"INVALID MARK",IF(COUNT(L15:U15)=COUNT(L$6:U$6),IFERROR(H15*K$6,),IF(COUNT(L15:U15)&lt;COUNT(L$6:U$6),"MISSING MARK","INVALID ENTRY")))</f>
        <v>16</v>
      </c>
      <c r="J15" s="29">
        <v>0</v>
      </c>
      <c r="K15" s="25">
        <f t="shared" si="5"/>
        <v>16</v>
      </c>
      <c r="L15" s="9">
        <v>9</v>
      </c>
      <c r="M15" s="9">
        <v>5</v>
      </c>
      <c r="N15" s="9">
        <v>2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</sheetData>
  <mergeCells count="1">
    <mergeCell ref="F4:G4"/>
  </mergeCells>
  <conditionalFormatting sqref="I7">
    <cfRule type="containsText" dxfId="28" priority="186" operator="containsText" text="INVALID MARK">
      <formula>NOT(ISERROR(SEARCH("INVALID MARK",I7)))</formula>
    </cfRule>
    <cfRule type="containsText" dxfId="27" priority="187" operator="containsText" text="INVALID ENTRY">
      <formula>NOT(ISERROR(SEARCH("INVALID ENTRY",I7)))</formula>
    </cfRule>
    <cfRule type="containsText" dxfId="26" priority="188" operator="containsText" text="MISSING MARK">
      <formula>NOT(ISERROR(SEARCH("MISSING MARK",I7)))</formula>
    </cfRule>
  </conditionalFormatting>
  <conditionalFormatting sqref="D7:D15">
    <cfRule type="containsText" dxfId="25" priority="16" operator="containsText" text="FAIL">
      <formula>NOT(ISERROR(SEARCH("FAIL",D7)))</formula>
    </cfRule>
    <cfRule type="containsText" dxfId="24" priority="17" operator="containsText" text="PASS">
      <formula>NOT(ISERROR(SEARCH("PASS",D7)))</formula>
    </cfRule>
  </conditionalFormatting>
  <conditionalFormatting sqref="I8:I15">
    <cfRule type="containsText" dxfId="23" priority="3" operator="containsText" text="INVALID MARK">
      <formula>NOT(ISERROR(SEARCH("INVALID MARK",I8)))</formula>
    </cfRule>
    <cfRule type="containsText" dxfId="22" priority="4" operator="containsText" text="INVALID ENTRY">
      <formula>NOT(ISERROR(SEARCH("INVALID ENTRY",I8)))</formula>
    </cfRule>
    <cfRule type="containsText" dxfId="21" priority="5" operator="containsText" text="MISSING MARK">
      <formula>NOT(ISERROR(SEARCH("MISSING MARK",I8)))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500"/>
  <sheetViews>
    <sheetView workbookViewId="0">
      <selection activeCell="L7" sqref="L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76</v>
      </c>
      <c r="G4" s="122"/>
      <c r="H4" s="4"/>
      <c r="I4" s="19"/>
      <c r="J4" s="8"/>
      <c r="K4" s="98" t="s">
        <v>73</v>
      </c>
      <c r="L4" s="95" t="s">
        <v>74</v>
      </c>
      <c r="M4" s="95"/>
      <c r="N4" s="95"/>
      <c r="O4" s="96"/>
      <c r="P4" s="96"/>
      <c r="Q4" s="96"/>
      <c r="R4" s="96"/>
      <c r="S4" s="96"/>
      <c r="T4" s="96"/>
      <c r="U4" s="97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4" t="s">
        <v>3</v>
      </c>
      <c r="F5" s="65" t="s">
        <v>1</v>
      </c>
      <c r="G5" s="65" t="s">
        <v>2</v>
      </c>
      <c r="H5" s="85" t="s">
        <v>8</v>
      </c>
      <c r="I5" s="86" t="s">
        <v>0</v>
      </c>
      <c r="J5" s="87" t="s">
        <v>7</v>
      </c>
      <c r="K5" s="88" t="s">
        <v>10</v>
      </c>
      <c r="L5" s="89" t="s">
        <v>56</v>
      </c>
      <c r="M5" s="89" t="s">
        <v>57</v>
      </c>
      <c r="N5" s="89" t="s">
        <v>58</v>
      </c>
      <c r="O5" s="89" t="s">
        <v>59</v>
      </c>
      <c r="P5" s="89" t="s">
        <v>60</v>
      </c>
      <c r="Q5" s="89" t="s">
        <v>61</v>
      </c>
      <c r="R5" s="89" t="s">
        <v>62</v>
      </c>
      <c r="S5" s="89" t="s">
        <v>63</v>
      </c>
      <c r="T5" s="89" t="s">
        <v>64</v>
      </c>
      <c r="U5" s="89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9" t="s">
        <v>5</v>
      </c>
      <c r="E6" s="80"/>
      <c r="F6" s="80"/>
      <c r="G6" s="80"/>
      <c r="H6" s="81">
        <v>1</v>
      </c>
      <c r="I6" s="80">
        <f>K6</f>
        <v>10</v>
      </c>
      <c r="J6" s="82"/>
      <c r="K6" s="83">
        <f t="shared" ref="K6" si="0">SUM(L6:U6)</f>
        <v>10</v>
      </c>
      <c r="L6" s="84">
        <v>10</v>
      </c>
      <c r="M6" s="84"/>
      <c r="N6" s="84"/>
      <c r="O6" s="84"/>
      <c r="P6" s="84"/>
      <c r="Q6" s="84"/>
      <c r="R6" s="84"/>
      <c r="S6" s="84"/>
      <c r="T6" s="84"/>
      <c r="U6" s="84"/>
      <c r="V6" s="35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IF(AND(H7&gt;=G$3, H7 &gt; 0), "PASS", "FAIL")</f>
        <v>FAIL</v>
      </c>
      <c r="E7" s="2" t="str">
        <f>'Final Marks'!D28</f>
        <v>A</v>
      </c>
      <c r="F7" s="2" t="str">
        <f>'Final Marks'!E28</f>
        <v>a</v>
      </c>
      <c r="G7" s="2" t="str">
        <f>'Final Marks'!F28</f>
        <v>1</v>
      </c>
      <c r="H7" s="24">
        <f t="shared" ref="H7:H15" si="1">IF(K7/K$6-J7&gt;=0, K7/K$6-J7, 0)</f>
        <v>0</v>
      </c>
      <c r="I7" s="20" t="str">
        <f>IF(ISOVERMAX(L7:U7),"INVALID MARK",IF(COUNT(L7:U7)=COUNT(L$6:U$6),IFERROR(H7*K$6,),IF(COUNT(L7:U7)&lt;COUNT(L$6:U$6),"MISSING MARK","INVALID ENTRY")))</f>
        <v>MISSING MARK</v>
      </c>
      <c r="J7" s="29">
        <v>0</v>
      </c>
      <c r="K7" s="25">
        <f t="shared" ref="K7:K15" si="2">SUM(L7:U7)</f>
        <v>0</v>
      </c>
      <c r="L7" s="9"/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5" si="3">IF(AND(H8&gt;=G$3, H8 &gt; 0), "PASS", "FAIL")</f>
        <v>FAIL</v>
      </c>
      <c r="E8" s="2" t="str">
        <f>'Final Marks'!D29</f>
        <v>B</v>
      </c>
      <c r="F8" s="2" t="str">
        <f>'Final Marks'!E29</f>
        <v>b</v>
      </c>
      <c r="G8" s="2" t="str">
        <f>'Final Marks'!F29</f>
        <v>2</v>
      </c>
      <c r="H8" s="24">
        <f t="shared" si="1"/>
        <v>0</v>
      </c>
      <c r="I8" s="20" t="str">
        <f>IF(ISOVERMAX(L8:U8),"INVALID MARK",IF(COUNT(L8:U8)=COUNT(L$6:U$6),IFERROR(H8*K$6,),IF(COUNT(L8:U8)&lt;COUNT(L$6:U$6),"MISSING MARK","INVALID ENTRY")))</f>
        <v>MISSING MARK</v>
      </c>
      <c r="J8" s="29">
        <v>0</v>
      </c>
      <c r="K8" s="25">
        <f t="shared" si="2"/>
        <v>0</v>
      </c>
      <c r="L8" s="9"/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FAIL</v>
      </c>
      <c r="E9" s="2" t="str">
        <f>'Final Marks'!D30</f>
        <v>C</v>
      </c>
      <c r="F9" s="2" t="str">
        <f>'Final Marks'!E30</f>
        <v>c</v>
      </c>
      <c r="G9" s="2" t="str">
        <f>'Final Marks'!F30</f>
        <v>3</v>
      </c>
      <c r="H9" s="24">
        <f t="shared" si="1"/>
        <v>0</v>
      </c>
      <c r="I9" s="20" t="str">
        <f>IF(ISOVERMAX(L9:U9),"INVALID MARK",IF(COUNT(L9:U9)=COUNT(L$6:U$6),IFERROR(H9*K$6,),IF(COUNT(L9:U9)&lt;COUNT(L$6:U$6),"MISSING MARK","INVALID ENTRY")))</f>
        <v>MISSING MARK</v>
      </c>
      <c r="J9" s="29">
        <v>0</v>
      </c>
      <c r="K9" s="25">
        <f t="shared" si="2"/>
        <v>0</v>
      </c>
      <c r="L9" s="9"/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FAIL</v>
      </c>
      <c r="E10" s="2" t="str">
        <f>'Final Marks'!D31</f>
        <v>D</v>
      </c>
      <c r="F10" s="2" t="str">
        <f>'Final Marks'!E31</f>
        <v>d</v>
      </c>
      <c r="G10" s="2" t="str">
        <f>'Final Marks'!F31</f>
        <v>4</v>
      </c>
      <c r="H10" s="24">
        <f t="shared" si="1"/>
        <v>0</v>
      </c>
      <c r="I10" s="20" t="str">
        <f>IF(ISOVERMAX(L10:U10),"INVALID MARK",IF(COUNT(L10:U10)=COUNT(L$6:U$6),IFERROR(H10*K$6,),IF(COUNT(L10:U10)&lt;COUNT(L$6:U$6),"MISSING MARK","INVALID ENTRY")))</f>
        <v>MISSING MARK</v>
      </c>
      <c r="J10" s="29">
        <v>0</v>
      </c>
      <c r="K10" s="25">
        <f t="shared" si="2"/>
        <v>0</v>
      </c>
      <c r="L10" s="9"/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si="3"/>
        <v>FAIL</v>
      </c>
      <c r="E11" s="2" t="str">
        <f>'Final Marks'!D32</f>
        <v>E</v>
      </c>
      <c r="F11" s="2" t="str">
        <f>'Final Marks'!E32</f>
        <v>e</v>
      </c>
      <c r="G11" s="2" t="str">
        <f>'Final Marks'!F32</f>
        <v>5</v>
      </c>
      <c r="H11" s="24">
        <f t="shared" si="1"/>
        <v>0</v>
      </c>
      <c r="I11" s="20" t="str">
        <f>IF(ISOVERMAX(L11:U11),"INVALID MARK",IF(COUNT(L11:U11)=COUNT(L$6:U$6),IFERROR(H11*K$6,),IF(COUNT(L11:U11)&lt;COUNT(L$6:U$6),"MISSING MARK","INVALID ENTRY")))</f>
        <v>MISSING MARK</v>
      </c>
      <c r="J11" s="29">
        <v>0</v>
      </c>
      <c r="K11" s="25">
        <f t="shared" si="2"/>
        <v>0</v>
      </c>
      <c r="L11" s="9"/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3"/>
        <v>FAIL</v>
      </c>
      <c r="E12" s="2" t="str">
        <f>'Final Marks'!D33</f>
        <v>F</v>
      </c>
      <c r="F12" s="2" t="str">
        <f>'Final Marks'!E33</f>
        <v>f</v>
      </c>
      <c r="G12" s="2" t="str">
        <f>'Final Marks'!F33</f>
        <v>6</v>
      </c>
      <c r="H12" s="24">
        <f t="shared" si="1"/>
        <v>0</v>
      </c>
      <c r="I12" s="20" t="str">
        <f>IF(ISOVERMAX(L12:U12),"INVALID MARK",IF(COUNT(L12:U12)=COUNT(L$6:U$6),IFERROR(H12*K$6,),IF(COUNT(L12:U12)&lt;COUNT(L$6:U$6),"MISSING MARK","INVALID ENTRY")))</f>
        <v>MISSING MARK</v>
      </c>
      <c r="J12" s="29">
        <v>0</v>
      </c>
      <c r="K12" s="25">
        <f t="shared" si="2"/>
        <v>0</v>
      </c>
      <c r="L12" s="9"/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3"/>
        <v>FAIL</v>
      </c>
      <c r="E13" s="2" t="str">
        <f>'Final Marks'!D34</f>
        <v>G</v>
      </c>
      <c r="F13" s="2" t="str">
        <f>'Final Marks'!E34</f>
        <v>g</v>
      </c>
      <c r="G13" s="2" t="str">
        <f>'Final Marks'!F34</f>
        <v>7</v>
      </c>
      <c r="H13" s="24">
        <f t="shared" si="1"/>
        <v>0</v>
      </c>
      <c r="I13" s="20" t="str">
        <f>IF(ISOVERMAX(L13:U13),"INVALID MARK",IF(COUNT(L13:U13)=COUNT(L$6:U$6),IFERROR(H13*K$6,),IF(COUNT(L13:U13)&lt;COUNT(L$6:U$6),"MISSING MARK","INVALID ENTRY")))</f>
        <v>MISSING MARK</v>
      </c>
      <c r="J13" s="29">
        <v>0</v>
      </c>
      <c r="K13" s="25">
        <f t="shared" si="2"/>
        <v>0</v>
      </c>
      <c r="L13" s="9"/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3"/>
        <v>FAIL</v>
      </c>
      <c r="E14" s="2" t="str">
        <f>'Final Marks'!D35</f>
        <v>H</v>
      </c>
      <c r="F14" s="2" t="str">
        <f>'Final Marks'!E35</f>
        <v>h</v>
      </c>
      <c r="G14" s="2" t="str">
        <f>'Final Marks'!F35</f>
        <v>8</v>
      </c>
      <c r="H14" s="24">
        <f t="shared" si="1"/>
        <v>0</v>
      </c>
      <c r="I14" s="20" t="str">
        <f>IF(ISOVERMAX(L14:U14),"INVALID MARK",IF(COUNT(L14:U14)=COUNT(L$6:U$6),IFERROR(H14*K$6,),IF(COUNT(L14:U14)&lt;COUNT(L$6:U$6),"MISSING MARK","INVALID ENTRY")))</f>
        <v>MISSING MARK</v>
      </c>
      <c r="J14" s="29">
        <v>0</v>
      </c>
      <c r="K14" s="25">
        <f t="shared" si="2"/>
        <v>0</v>
      </c>
      <c r="L14" s="9"/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3"/>
        <v>FAIL</v>
      </c>
      <c r="E15" s="2" t="str">
        <f>'Final Marks'!D36</f>
        <v>I</v>
      </c>
      <c r="F15" s="2" t="str">
        <f>'Final Marks'!E36</f>
        <v>i</v>
      </c>
      <c r="G15" s="2" t="str">
        <f>'Final Marks'!F36</f>
        <v>9</v>
      </c>
      <c r="H15" s="24">
        <f t="shared" si="1"/>
        <v>0</v>
      </c>
      <c r="I15" s="20" t="str">
        <f>IF(ISOVERMAX(L15:U15),"INVALID MARK",IF(COUNT(L15:U15)=COUNT(L$6:U$6),IFERROR(H15*K$6,),IF(COUNT(L15:U15)&lt;COUNT(L$6:U$6),"MISSING MARK","INVALID ENTRY")))</f>
        <v>MISSING MARK</v>
      </c>
      <c r="J15" s="29">
        <v>0</v>
      </c>
      <c r="K15" s="25">
        <f t="shared" si="2"/>
        <v>0</v>
      </c>
      <c r="L15" s="9"/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5"/>
      <c r="E16" s="5"/>
      <c r="F16" s="5"/>
      <c r="G16" s="5"/>
      <c r="H16" s="4"/>
      <c r="I16" s="19"/>
      <c r="J16" s="8"/>
      <c r="K16" s="17"/>
      <c r="L16" s="9"/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</row>
    <row r="17" spans="1:53" x14ac:dyDescent="0.25">
      <c r="A17" s="5"/>
      <c r="B17" s="5"/>
      <c r="C17" s="5"/>
      <c r="D17" s="5"/>
      <c r="E17" s="5"/>
      <c r="F17" s="5"/>
      <c r="G17" s="5"/>
      <c r="H17" s="4"/>
      <c r="I17" s="19"/>
      <c r="J17" s="8"/>
      <c r="K17" s="17"/>
      <c r="L17" s="9"/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  <row r="434" spans="1:53" x14ac:dyDescent="0.25">
      <c r="A434" s="5"/>
      <c r="B434" s="5"/>
      <c r="C434" s="5"/>
      <c r="D434" s="5"/>
      <c r="E434" s="5"/>
      <c r="F434" s="5"/>
      <c r="G434" s="5"/>
      <c r="H434" s="4"/>
      <c r="I434" s="19"/>
      <c r="J434" s="8"/>
      <c r="K434" s="17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</row>
    <row r="435" spans="1:53" x14ac:dyDescent="0.25">
      <c r="A435" s="5"/>
      <c r="B435" s="5"/>
      <c r="C435" s="5"/>
      <c r="D435" s="5"/>
      <c r="E435" s="5"/>
      <c r="F435" s="5"/>
      <c r="G435" s="5"/>
      <c r="H435" s="4"/>
      <c r="I435" s="19"/>
      <c r="J435" s="8"/>
      <c r="K435" s="17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</row>
    <row r="436" spans="1:53" x14ac:dyDescent="0.25">
      <c r="A436" s="5"/>
      <c r="B436" s="5"/>
      <c r="C436" s="5"/>
      <c r="D436" s="5"/>
      <c r="E436" s="5"/>
      <c r="F436" s="5"/>
      <c r="G436" s="5"/>
      <c r="H436" s="4"/>
      <c r="I436" s="19"/>
      <c r="J436" s="8"/>
      <c r="K436" s="17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</row>
    <row r="437" spans="1:53" x14ac:dyDescent="0.25">
      <c r="A437" s="5"/>
      <c r="B437" s="5"/>
      <c r="C437" s="5"/>
      <c r="D437" s="5"/>
      <c r="E437" s="5"/>
      <c r="F437" s="5"/>
      <c r="G437" s="5"/>
      <c r="H437" s="4"/>
      <c r="I437" s="19"/>
      <c r="J437" s="8"/>
      <c r="K437" s="17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</row>
    <row r="438" spans="1:53" x14ac:dyDescent="0.25">
      <c r="A438" s="5"/>
      <c r="B438" s="5"/>
      <c r="C438" s="5"/>
      <c r="D438" s="5"/>
      <c r="E438" s="5"/>
      <c r="F438" s="5"/>
      <c r="G438" s="5"/>
      <c r="H438" s="4"/>
      <c r="I438" s="19"/>
      <c r="J438" s="8"/>
      <c r="K438" s="17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</row>
    <row r="439" spans="1:53" x14ac:dyDescent="0.25">
      <c r="A439" s="5"/>
      <c r="B439" s="5"/>
      <c r="C439" s="5"/>
      <c r="D439" s="5"/>
      <c r="E439" s="5"/>
      <c r="F439" s="5"/>
      <c r="G439" s="5"/>
      <c r="H439" s="4"/>
      <c r="I439" s="19"/>
      <c r="J439" s="8"/>
      <c r="K439" s="17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</row>
    <row r="440" spans="1:53" x14ac:dyDescent="0.25">
      <c r="A440" s="5"/>
      <c r="B440" s="5"/>
      <c r="C440" s="5"/>
      <c r="D440" s="5"/>
      <c r="E440" s="5"/>
      <c r="F440" s="5"/>
      <c r="G440" s="5"/>
      <c r="H440" s="4"/>
      <c r="I440" s="19"/>
      <c r="J440" s="8"/>
      <c r="K440" s="17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</row>
    <row r="441" spans="1:53" x14ac:dyDescent="0.25">
      <c r="A441" s="5"/>
      <c r="B441" s="5"/>
      <c r="C441" s="5"/>
      <c r="D441" s="5"/>
      <c r="E441" s="5"/>
      <c r="F441" s="5"/>
      <c r="G441" s="5"/>
      <c r="H441" s="4"/>
      <c r="I441" s="19"/>
      <c r="J441" s="8"/>
      <c r="K441" s="17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</row>
    <row r="442" spans="1:53" x14ac:dyDescent="0.25">
      <c r="A442" s="5"/>
      <c r="B442" s="5"/>
      <c r="C442" s="5"/>
      <c r="D442" s="5"/>
      <c r="E442" s="5"/>
      <c r="F442" s="5"/>
      <c r="G442" s="5"/>
      <c r="H442" s="4"/>
      <c r="I442" s="19"/>
      <c r="J442" s="8"/>
      <c r="K442" s="17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</row>
    <row r="443" spans="1:53" x14ac:dyDescent="0.25">
      <c r="A443" s="5"/>
      <c r="B443" s="5"/>
      <c r="C443" s="5"/>
      <c r="D443" s="5"/>
      <c r="E443" s="5"/>
      <c r="F443" s="5"/>
      <c r="G443" s="5"/>
      <c r="H443" s="4"/>
      <c r="I443" s="19"/>
      <c r="J443" s="8"/>
      <c r="K443" s="17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</row>
    <row r="444" spans="1:53" x14ac:dyDescent="0.25">
      <c r="A444" s="5"/>
      <c r="B444" s="5"/>
      <c r="C444" s="5"/>
      <c r="D444" s="5"/>
      <c r="E444" s="5"/>
      <c r="F444" s="5"/>
      <c r="G444" s="5"/>
      <c r="H444" s="4"/>
      <c r="I444" s="19"/>
      <c r="J444" s="8"/>
      <c r="K444" s="17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</row>
    <row r="445" spans="1:53" x14ac:dyDescent="0.25">
      <c r="A445" s="5"/>
      <c r="B445" s="5"/>
      <c r="C445" s="5"/>
      <c r="D445" s="5"/>
      <c r="E445" s="5"/>
      <c r="F445" s="5"/>
      <c r="G445" s="5"/>
      <c r="H445" s="4"/>
      <c r="I445" s="19"/>
      <c r="J445" s="8"/>
      <c r="K445" s="17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</row>
    <row r="446" spans="1:53" x14ac:dyDescent="0.25">
      <c r="A446" s="5"/>
      <c r="B446" s="5"/>
      <c r="C446" s="5"/>
      <c r="D446" s="5"/>
      <c r="E446" s="5"/>
      <c r="F446" s="5"/>
      <c r="G446" s="5"/>
      <c r="H446" s="4"/>
      <c r="I446" s="19"/>
      <c r="J446" s="8"/>
      <c r="K446" s="17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</row>
    <row r="447" spans="1:53" x14ac:dyDescent="0.25">
      <c r="A447" s="5"/>
      <c r="B447" s="5"/>
      <c r="C447" s="5"/>
      <c r="D447" s="5"/>
      <c r="E447" s="5"/>
      <c r="F447" s="5"/>
      <c r="G447" s="5"/>
      <c r="H447" s="4"/>
      <c r="I447" s="19"/>
      <c r="J447" s="8"/>
      <c r="K447" s="17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</row>
    <row r="448" spans="1:53" x14ac:dyDescent="0.25">
      <c r="A448" s="5"/>
      <c r="B448" s="5"/>
      <c r="C448" s="5"/>
      <c r="D448" s="5"/>
      <c r="E448" s="5"/>
      <c r="F448" s="5"/>
      <c r="G448" s="5"/>
      <c r="H448" s="4"/>
      <c r="I448" s="19"/>
      <c r="J448" s="8"/>
      <c r="K448" s="17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</row>
    <row r="449" spans="1:53" x14ac:dyDescent="0.25">
      <c r="A449" s="5"/>
      <c r="B449" s="5"/>
      <c r="C449" s="5"/>
      <c r="D449" s="5"/>
      <c r="E449" s="5"/>
      <c r="F449" s="5"/>
      <c r="G449" s="5"/>
      <c r="H449" s="4"/>
      <c r="I449" s="19"/>
      <c r="J449" s="8"/>
      <c r="K449" s="17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</row>
    <row r="450" spans="1:53" x14ac:dyDescent="0.25">
      <c r="A450" s="5"/>
      <c r="B450" s="5"/>
      <c r="C450" s="5"/>
      <c r="D450" s="5"/>
      <c r="E450" s="5"/>
      <c r="F450" s="5"/>
      <c r="G450" s="5"/>
      <c r="H450" s="4"/>
      <c r="I450" s="19"/>
      <c r="J450" s="8"/>
      <c r="K450" s="17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</row>
    <row r="451" spans="1:53" x14ac:dyDescent="0.25">
      <c r="A451" s="5"/>
      <c r="B451" s="5"/>
      <c r="C451" s="5"/>
      <c r="D451" s="5"/>
      <c r="E451" s="5"/>
      <c r="F451" s="5"/>
      <c r="G451" s="5"/>
      <c r="H451" s="4"/>
      <c r="I451" s="19"/>
      <c r="J451" s="8"/>
      <c r="K451" s="17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</row>
    <row r="452" spans="1:53" x14ac:dyDescent="0.25">
      <c r="A452" s="5"/>
      <c r="B452" s="5"/>
      <c r="C452" s="5"/>
      <c r="D452" s="5"/>
      <c r="E452" s="5"/>
      <c r="F452" s="5"/>
      <c r="G452" s="5"/>
      <c r="H452" s="4"/>
      <c r="I452" s="19"/>
      <c r="J452" s="8"/>
      <c r="K452" s="17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</row>
    <row r="453" spans="1:53" x14ac:dyDescent="0.25">
      <c r="A453" s="5"/>
      <c r="B453" s="5"/>
      <c r="C453" s="5"/>
      <c r="D453" s="5"/>
      <c r="E453" s="5"/>
      <c r="F453" s="5"/>
      <c r="G453" s="5"/>
      <c r="H453" s="4"/>
      <c r="I453" s="19"/>
      <c r="J453" s="8"/>
      <c r="K453" s="17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</row>
    <row r="454" spans="1:53" x14ac:dyDescent="0.25">
      <c r="A454" s="5"/>
      <c r="B454" s="5"/>
      <c r="C454" s="5"/>
      <c r="D454" s="5"/>
      <c r="E454" s="5"/>
      <c r="F454" s="5"/>
      <c r="G454" s="5"/>
      <c r="H454" s="4"/>
      <c r="I454" s="19"/>
      <c r="J454" s="8"/>
      <c r="K454" s="17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</row>
    <row r="455" spans="1:53" x14ac:dyDescent="0.25">
      <c r="A455" s="5"/>
      <c r="B455" s="5"/>
      <c r="C455" s="5"/>
      <c r="D455" s="5"/>
      <c r="E455" s="5"/>
      <c r="F455" s="5"/>
      <c r="G455" s="5"/>
      <c r="H455" s="4"/>
      <c r="I455" s="19"/>
      <c r="J455" s="8"/>
      <c r="K455" s="17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</row>
    <row r="456" spans="1:53" x14ac:dyDescent="0.25">
      <c r="A456" s="5"/>
      <c r="B456" s="5"/>
      <c r="C456" s="5"/>
      <c r="D456" s="5"/>
      <c r="E456" s="5"/>
      <c r="F456" s="5"/>
      <c r="G456" s="5"/>
      <c r="H456" s="4"/>
      <c r="I456" s="19"/>
      <c r="J456" s="8"/>
      <c r="K456" s="17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</row>
    <row r="457" spans="1:53" x14ac:dyDescent="0.25">
      <c r="A457" s="5"/>
      <c r="B457" s="5"/>
      <c r="C457" s="5"/>
      <c r="D457" s="5"/>
      <c r="E457" s="5"/>
      <c r="F457" s="5"/>
      <c r="G457" s="5"/>
      <c r="H457" s="4"/>
      <c r="I457" s="19"/>
      <c r="J457" s="8"/>
      <c r="K457" s="17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</row>
    <row r="458" spans="1:53" x14ac:dyDescent="0.25">
      <c r="A458" s="5"/>
      <c r="B458" s="5"/>
      <c r="C458" s="5"/>
      <c r="D458" s="5"/>
      <c r="E458" s="5"/>
      <c r="F458" s="5"/>
      <c r="G458" s="5"/>
      <c r="H458" s="4"/>
      <c r="I458" s="19"/>
      <c r="J458" s="8"/>
      <c r="K458" s="17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</row>
    <row r="459" spans="1:53" x14ac:dyDescent="0.25">
      <c r="A459" s="5"/>
      <c r="B459" s="5"/>
      <c r="C459" s="5"/>
      <c r="D459" s="5"/>
      <c r="E459" s="5"/>
      <c r="F459" s="5"/>
      <c r="G459" s="5"/>
      <c r="H459" s="4"/>
      <c r="I459" s="19"/>
      <c r="J459" s="8"/>
      <c r="K459" s="17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</row>
    <row r="460" spans="1:53" x14ac:dyDescent="0.25">
      <c r="A460" s="5"/>
      <c r="B460" s="5"/>
      <c r="C460" s="5"/>
      <c r="D460" s="5"/>
      <c r="E460" s="5"/>
      <c r="F460" s="5"/>
      <c r="G460" s="5"/>
      <c r="H460" s="4"/>
      <c r="I460" s="19"/>
      <c r="J460" s="8"/>
      <c r="K460" s="17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</row>
    <row r="461" spans="1:53" x14ac:dyDescent="0.25">
      <c r="A461" s="5"/>
      <c r="B461" s="5"/>
      <c r="C461" s="5"/>
      <c r="D461" s="5"/>
      <c r="E461" s="5"/>
      <c r="F461" s="5"/>
      <c r="G461" s="5"/>
      <c r="H461" s="4"/>
      <c r="I461" s="19"/>
      <c r="J461" s="8"/>
      <c r="K461" s="17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</row>
    <row r="462" spans="1:53" x14ac:dyDescent="0.25">
      <c r="A462" s="5"/>
      <c r="B462" s="5"/>
      <c r="C462" s="5"/>
      <c r="D462" s="5"/>
      <c r="E462" s="5"/>
      <c r="F462" s="5"/>
      <c r="G462" s="5"/>
      <c r="H462" s="4"/>
      <c r="I462" s="19"/>
      <c r="J462" s="8"/>
      <c r="K462" s="17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</row>
    <row r="463" spans="1:53" x14ac:dyDescent="0.25">
      <c r="A463" s="5"/>
      <c r="B463" s="5"/>
      <c r="C463" s="5"/>
      <c r="D463" s="5"/>
      <c r="E463" s="5"/>
      <c r="F463" s="5"/>
      <c r="G463" s="5"/>
      <c r="H463" s="4"/>
      <c r="I463" s="19"/>
      <c r="J463" s="8"/>
      <c r="K463" s="17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</row>
    <row r="464" spans="1:53" x14ac:dyDescent="0.25">
      <c r="A464" s="5"/>
      <c r="B464" s="5"/>
      <c r="C464" s="5"/>
      <c r="D464" s="5"/>
      <c r="E464" s="5"/>
      <c r="F464" s="5"/>
      <c r="G464" s="5"/>
      <c r="H464" s="4"/>
      <c r="I464" s="19"/>
      <c r="J464" s="8"/>
      <c r="K464" s="17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</row>
    <row r="465" spans="1:53" x14ac:dyDescent="0.25">
      <c r="A465" s="5"/>
      <c r="B465" s="5"/>
      <c r="C465" s="5"/>
      <c r="D465" s="5"/>
      <c r="E465" s="5"/>
      <c r="F465" s="5"/>
      <c r="G465" s="5"/>
      <c r="H465" s="4"/>
      <c r="I465" s="19"/>
      <c r="J465" s="8"/>
      <c r="K465" s="17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</row>
    <row r="466" spans="1:53" x14ac:dyDescent="0.25">
      <c r="A466" s="5"/>
      <c r="B466" s="5"/>
      <c r="C466" s="5"/>
      <c r="D466" s="5"/>
      <c r="E466" s="5"/>
      <c r="F466" s="5"/>
      <c r="G466" s="5"/>
      <c r="H466" s="4"/>
      <c r="I466" s="19"/>
      <c r="J466" s="8"/>
      <c r="K466" s="17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</row>
    <row r="467" spans="1:53" x14ac:dyDescent="0.25">
      <c r="A467" s="5"/>
      <c r="B467" s="5"/>
      <c r="C467" s="5"/>
      <c r="D467" s="5"/>
      <c r="E467" s="5"/>
      <c r="F467" s="5"/>
      <c r="G467" s="5"/>
      <c r="H467" s="4"/>
      <c r="I467" s="19"/>
      <c r="J467" s="8"/>
      <c r="K467" s="17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</row>
    <row r="468" spans="1:53" x14ac:dyDescent="0.25">
      <c r="A468" s="5"/>
      <c r="B468" s="5"/>
      <c r="C468" s="5"/>
      <c r="D468" s="5"/>
      <c r="E468" s="5"/>
      <c r="F468" s="5"/>
      <c r="G468" s="5"/>
      <c r="H468" s="4"/>
      <c r="I468" s="19"/>
      <c r="J468" s="8"/>
      <c r="K468" s="17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</row>
    <row r="469" spans="1:53" x14ac:dyDescent="0.25">
      <c r="A469" s="5"/>
      <c r="B469" s="5"/>
      <c r="C469" s="5"/>
      <c r="D469" s="5"/>
      <c r="E469" s="5"/>
      <c r="F469" s="5"/>
      <c r="G469" s="5"/>
      <c r="H469" s="4"/>
      <c r="I469" s="19"/>
      <c r="J469" s="8"/>
      <c r="K469" s="17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</row>
    <row r="470" spans="1:53" x14ac:dyDescent="0.25">
      <c r="A470" s="5"/>
      <c r="B470" s="5"/>
      <c r="C470" s="5"/>
      <c r="D470" s="5"/>
      <c r="E470" s="5"/>
      <c r="F470" s="5"/>
      <c r="G470" s="5"/>
      <c r="H470" s="4"/>
      <c r="I470" s="19"/>
      <c r="J470" s="8"/>
      <c r="K470" s="17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</row>
    <row r="471" spans="1:53" x14ac:dyDescent="0.25">
      <c r="A471" s="5"/>
      <c r="B471" s="5"/>
      <c r="C471" s="5"/>
      <c r="D471" s="5"/>
      <c r="E471" s="5"/>
      <c r="F471" s="5"/>
      <c r="G471" s="5"/>
      <c r="H471" s="4"/>
      <c r="I471" s="19"/>
      <c r="J471" s="8"/>
      <c r="K471" s="17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</row>
    <row r="472" spans="1:53" x14ac:dyDescent="0.25">
      <c r="A472" s="5"/>
      <c r="B472" s="5"/>
      <c r="C472" s="5"/>
      <c r="D472" s="5"/>
      <c r="E472" s="5"/>
      <c r="F472" s="5"/>
      <c r="G472" s="5"/>
      <c r="H472" s="4"/>
      <c r="I472" s="19"/>
      <c r="J472" s="8"/>
      <c r="K472" s="17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</row>
    <row r="473" spans="1:53" x14ac:dyDescent="0.25">
      <c r="A473" s="5"/>
      <c r="B473" s="5"/>
      <c r="C473" s="5"/>
      <c r="D473" s="5"/>
      <c r="E473" s="5"/>
      <c r="F473" s="5"/>
      <c r="G473" s="5"/>
      <c r="H473" s="4"/>
      <c r="I473" s="19"/>
      <c r="J473" s="8"/>
      <c r="K473" s="17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</row>
    <row r="474" spans="1:53" x14ac:dyDescent="0.25">
      <c r="A474" s="5"/>
      <c r="B474" s="5"/>
      <c r="C474" s="5"/>
      <c r="D474" s="5"/>
      <c r="E474" s="5"/>
      <c r="F474" s="5"/>
      <c r="G474" s="5"/>
      <c r="H474" s="4"/>
      <c r="I474" s="19"/>
      <c r="J474" s="8"/>
      <c r="K474" s="17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</row>
    <row r="475" spans="1:53" x14ac:dyDescent="0.25">
      <c r="A475" s="5"/>
      <c r="B475" s="5"/>
      <c r="C475" s="5"/>
      <c r="D475" s="5"/>
      <c r="E475" s="5"/>
      <c r="F475" s="5"/>
      <c r="G475" s="5"/>
      <c r="H475" s="4"/>
      <c r="I475" s="19"/>
      <c r="J475" s="8"/>
      <c r="K475" s="17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</row>
    <row r="476" spans="1:53" x14ac:dyDescent="0.25">
      <c r="A476" s="5"/>
      <c r="B476" s="5"/>
      <c r="C476" s="5"/>
      <c r="D476" s="5"/>
      <c r="E476" s="5"/>
      <c r="F476" s="5"/>
      <c r="G476" s="5"/>
      <c r="H476" s="4"/>
      <c r="I476" s="19"/>
      <c r="J476" s="8"/>
      <c r="K476" s="17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</row>
    <row r="477" spans="1:53" x14ac:dyDescent="0.25">
      <c r="A477" s="5"/>
      <c r="B477" s="5"/>
      <c r="C477" s="5"/>
      <c r="D477" s="5"/>
      <c r="E477" s="5"/>
      <c r="F477" s="5"/>
      <c r="G477" s="5"/>
      <c r="H477" s="4"/>
      <c r="I477" s="19"/>
      <c r="J477" s="8"/>
      <c r="K477" s="17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</row>
    <row r="478" spans="1:53" x14ac:dyDescent="0.25">
      <c r="A478" s="5"/>
      <c r="B478" s="5"/>
      <c r="C478" s="5"/>
      <c r="D478" s="5"/>
      <c r="E478" s="5"/>
      <c r="F478" s="5"/>
      <c r="G478" s="5"/>
      <c r="H478" s="4"/>
      <c r="I478" s="19"/>
      <c r="J478" s="8"/>
      <c r="K478" s="17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</row>
    <row r="479" spans="1:53" x14ac:dyDescent="0.25">
      <c r="A479" s="5"/>
      <c r="B479" s="5"/>
      <c r="C479" s="5"/>
      <c r="D479" s="5"/>
      <c r="E479" s="5"/>
      <c r="F479" s="5"/>
      <c r="G479" s="5"/>
      <c r="H479" s="4"/>
      <c r="I479" s="19"/>
      <c r="J479" s="8"/>
      <c r="K479" s="17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</row>
    <row r="480" spans="1:53" x14ac:dyDescent="0.25">
      <c r="A480" s="5"/>
      <c r="B480" s="5"/>
      <c r="C480" s="5"/>
      <c r="D480" s="5"/>
      <c r="E480" s="5"/>
      <c r="F480" s="5"/>
      <c r="G480" s="5"/>
      <c r="H480" s="4"/>
      <c r="I480" s="19"/>
      <c r="J480" s="8"/>
      <c r="K480" s="17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</row>
    <row r="481" spans="1:53" x14ac:dyDescent="0.25">
      <c r="A481" s="5"/>
      <c r="B481" s="5"/>
      <c r="C481" s="5"/>
      <c r="D481" s="5"/>
      <c r="E481" s="5"/>
      <c r="F481" s="5"/>
      <c r="G481" s="5"/>
      <c r="H481" s="4"/>
      <c r="I481" s="19"/>
      <c r="J481" s="8"/>
      <c r="K481" s="17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</row>
    <row r="482" spans="1:53" x14ac:dyDescent="0.25">
      <c r="A482" s="5"/>
      <c r="B482" s="5"/>
      <c r="C482" s="5"/>
      <c r="D482" s="5"/>
      <c r="E482" s="5"/>
      <c r="F482" s="5"/>
      <c r="G482" s="5"/>
      <c r="H482" s="4"/>
      <c r="I482" s="19"/>
      <c r="J482" s="8"/>
      <c r="K482" s="17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</row>
    <row r="483" spans="1:53" x14ac:dyDescent="0.25">
      <c r="A483" s="5"/>
      <c r="B483" s="5"/>
      <c r="C483" s="5"/>
      <c r="D483" s="5"/>
      <c r="E483" s="5"/>
      <c r="F483" s="5"/>
      <c r="G483" s="5"/>
      <c r="H483" s="4"/>
      <c r="I483" s="19"/>
      <c r="J483" s="8"/>
      <c r="K483" s="17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</row>
    <row r="484" spans="1:53" x14ac:dyDescent="0.25">
      <c r="A484" s="5"/>
      <c r="B484" s="5"/>
      <c r="C484" s="5"/>
      <c r="D484" s="5"/>
      <c r="E484" s="5"/>
      <c r="F484" s="5"/>
      <c r="G484" s="5"/>
      <c r="H484" s="4"/>
      <c r="I484" s="19"/>
      <c r="J484" s="8"/>
      <c r="K484" s="17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</row>
    <row r="485" spans="1:53" x14ac:dyDescent="0.25">
      <c r="A485" s="5"/>
      <c r="B485" s="5"/>
      <c r="C485" s="5"/>
      <c r="D485" s="5"/>
      <c r="E485" s="5"/>
      <c r="F485" s="5"/>
      <c r="G485" s="5"/>
      <c r="H485" s="4"/>
      <c r="I485" s="19"/>
      <c r="J485" s="8"/>
      <c r="K485" s="17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</row>
    <row r="486" spans="1:53" x14ac:dyDescent="0.25">
      <c r="A486" s="5"/>
      <c r="B486" s="5"/>
      <c r="C486" s="5"/>
      <c r="D486" s="5"/>
      <c r="E486" s="5"/>
      <c r="F486" s="5"/>
      <c r="G486" s="5"/>
      <c r="H486" s="4"/>
      <c r="I486" s="19"/>
      <c r="J486" s="8"/>
      <c r="K486" s="17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</row>
    <row r="487" spans="1:53" x14ac:dyDescent="0.25">
      <c r="A487" s="5"/>
      <c r="B487" s="5"/>
      <c r="C487" s="5"/>
      <c r="D487" s="5"/>
      <c r="E487" s="5"/>
      <c r="F487" s="5"/>
      <c r="G487" s="5"/>
      <c r="H487" s="4"/>
      <c r="I487" s="19"/>
      <c r="J487" s="8"/>
      <c r="K487" s="17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</row>
    <row r="488" spans="1:53" x14ac:dyDescent="0.25">
      <c r="A488" s="5"/>
      <c r="B488" s="5"/>
      <c r="C488" s="5"/>
      <c r="D488" s="5"/>
      <c r="E488" s="5"/>
      <c r="F488" s="5"/>
      <c r="G488" s="5"/>
      <c r="H488" s="4"/>
      <c r="I488" s="19"/>
      <c r="J488" s="8"/>
      <c r="K488" s="17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</row>
    <row r="489" spans="1:53" x14ac:dyDescent="0.25">
      <c r="A489" s="5"/>
      <c r="B489" s="5"/>
      <c r="C489" s="5"/>
      <c r="D489" s="5"/>
      <c r="E489" s="5"/>
      <c r="F489" s="5"/>
      <c r="G489" s="5"/>
      <c r="H489" s="4"/>
      <c r="I489" s="19"/>
      <c r="J489" s="8"/>
      <c r="K489" s="17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</row>
    <row r="490" spans="1:53" x14ac:dyDescent="0.25">
      <c r="A490" s="5"/>
      <c r="B490" s="5"/>
      <c r="C490" s="5"/>
      <c r="D490" s="5"/>
      <c r="E490" s="5"/>
      <c r="F490" s="5"/>
      <c r="G490" s="5"/>
      <c r="H490" s="4"/>
      <c r="I490" s="19"/>
      <c r="J490" s="8"/>
      <c r="K490" s="17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</row>
    <row r="491" spans="1:53" x14ac:dyDescent="0.25">
      <c r="A491" s="5"/>
      <c r="B491" s="5"/>
      <c r="C491" s="5"/>
      <c r="D491" s="5"/>
      <c r="E491" s="5"/>
      <c r="F491" s="5"/>
      <c r="G491" s="5"/>
      <c r="H491" s="4"/>
      <c r="I491" s="19"/>
      <c r="J491" s="8"/>
      <c r="K491" s="17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</row>
    <row r="492" spans="1:53" x14ac:dyDescent="0.25">
      <c r="A492" s="5"/>
      <c r="B492" s="5"/>
      <c r="C492" s="5"/>
      <c r="D492" s="5"/>
      <c r="E492" s="5"/>
      <c r="F492" s="5"/>
      <c r="G492" s="5"/>
      <c r="H492" s="4"/>
      <c r="I492" s="19"/>
      <c r="J492" s="8"/>
      <c r="K492" s="17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</row>
    <row r="493" spans="1:53" x14ac:dyDescent="0.25">
      <c r="A493" s="5"/>
      <c r="B493" s="5"/>
      <c r="C493" s="5"/>
      <c r="D493" s="5"/>
      <c r="E493" s="5"/>
      <c r="F493" s="5"/>
      <c r="G493" s="5"/>
      <c r="H493" s="4"/>
      <c r="I493" s="19"/>
      <c r="J493" s="8"/>
      <c r="K493" s="17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</row>
    <row r="494" spans="1:53" x14ac:dyDescent="0.25">
      <c r="A494" s="5"/>
      <c r="B494" s="5"/>
      <c r="C494" s="5"/>
      <c r="D494" s="5"/>
      <c r="E494" s="5"/>
      <c r="F494" s="5"/>
      <c r="G494" s="5"/>
      <c r="H494" s="4"/>
      <c r="I494" s="19"/>
      <c r="J494" s="8"/>
      <c r="K494" s="17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</row>
    <row r="495" spans="1:53" x14ac:dyDescent="0.25">
      <c r="A495" s="5"/>
      <c r="B495" s="5"/>
      <c r="C495" s="5"/>
      <c r="D495" s="5"/>
      <c r="E495" s="5"/>
      <c r="F495" s="5"/>
      <c r="G495" s="5"/>
      <c r="H495" s="4"/>
      <c r="I495" s="19"/>
      <c r="J495" s="8"/>
      <c r="K495" s="17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</row>
    <row r="496" spans="1:53" x14ac:dyDescent="0.25">
      <c r="A496" s="5"/>
      <c r="B496" s="5"/>
      <c r="C496" s="5"/>
      <c r="D496" s="5"/>
      <c r="E496" s="5"/>
      <c r="F496" s="5"/>
      <c r="G496" s="5"/>
      <c r="H496" s="4"/>
      <c r="I496" s="19"/>
      <c r="J496" s="8"/>
      <c r="K496" s="17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</row>
    <row r="497" spans="1:53" x14ac:dyDescent="0.25">
      <c r="A497" s="5"/>
      <c r="B497" s="5"/>
      <c r="C497" s="5"/>
      <c r="D497" s="5"/>
      <c r="E497" s="5"/>
      <c r="F497" s="5"/>
      <c r="G497" s="5"/>
      <c r="H497" s="4"/>
      <c r="I497" s="19"/>
      <c r="J497" s="8"/>
      <c r="K497" s="17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</row>
    <row r="498" spans="1:53" x14ac:dyDescent="0.25">
      <c r="A498" s="5"/>
      <c r="B498" s="5"/>
      <c r="C498" s="5"/>
      <c r="D498" s="5"/>
      <c r="E498" s="5"/>
      <c r="F498" s="5"/>
      <c r="G498" s="5"/>
      <c r="H498" s="4"/>
      <c r="I498" s="19"/>
      <c r="J498" s="8"/>
      <c r="K498" s="17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</row>
    <row r="499" spans="1:53" x14ac:dyDescent="0.25">
      <c r="A499" s="5"/>
      <c r="B499" s="5"/>
      <c r="C499" s="5"/>
      <c r="D499" s="5"/>
      <c r="E499" s="5"/>
      <c r="F499" s="5"/>
      <c r="G499" s="5"/>
      <c r="H499" s="4"/>
      <c r="I499" s="19"/>
      <c r="J499" s="8"/>
      <c r="K499" s="17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</row>
    <row r="500" spans="1:53" x14ac:dyDescent="0.25">
      <c r="A500" s="5"/>
      <c r="B500" s="5"/>
      <c r="C500" s="5"/>
      <c r="D500" s="5"/>
      <c r="E500" s="5"/>
      <c r="F500" s="5"/>
      <c r="G500" s="5"/>
      <c r="H500" s="4"/>
      <c r="I500" s="19"/>
      <c r="J500" s="8"/>
      <c r="K500" s="17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</row>
  </sheetData>
  <mergeCells count="1">
    <mergeCell ref="F4:G4"/>
  </mergeCells>
  <conditionalFormatting sqref="I7">
    <cfRule type="containsText" dxfId="10" priority="6" operator="containsText" text="INVALID MARK">
      <formula>NOT(ISERROR(SEARCH("INVALID MARK",I7)))</formula>
    </cfRule>
    <cfRule type="containsText" dxfId="9" priority="7" operator="containsText" text="INVALID ENTRY">
      <formula>NOT(ISERROR(SEARCH("INVALID ENTRY",I7)))</formula>
    </cfRule>
    <cfRule type="containsText" dxfId="8" priority="8" operator="containsText" text="MISSING MARK">
      <formula>NOT(ISERROR(SEARCH("MISSING MARK",I7)))</formula>
    </cfRule>
  </conditionalFormatting>
  <conditionalFormatting sqref="D7:D15">
    <cfRule type="containsText" dxfId="7" priority="4" operator="containsText" text="FAIL">
      <formula>NOT(ISERROR(SEARCH("FAIL",D7)))</formula>
    </cfRule>
    <cfRule type="containsText" dxfId="6" priority="5" operator="containsText" text="PASS">
      <formula>NOT(ISERROR(SEARCH("PASS",D7)))</formula>
    </cfRule>
  </conditionalFormatting>
  <conditionalFormatting sqref="I8:I15">
    <cfRule type="containsText" dxfId="5" priority="1" operator="containsText" text="INVALID MARK">
      <formula>NOT(ISERROR(SEARCH("INVALID MARK",I8)))</formula>
    </cfRule>
    <cfRule type="containsText" dxfId="4" priority="2" operator="containsText" text="INVALID ENTRY">
      <formula>NOT(ISERROR(SEARCH("INVALID ENTRY",I8)))</formula>
    </cfRule>
    <cfRule type="containsText" dxfId="3" priority="3" operator="containsText" text="MISSING MARK">
      <formula>NOT(ISERROR(SEARCH("MISSING MARK",I8)))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5"/>
  <sheetViews>
    <sheetView topLeftCell="A3" workbookViewId="0">
      <selection activeCell="I7" sqref="I7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44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2"/>
      <c r="G4" s="122"/>
      <c r="H4" s="4"/>
      <c r="I4" s="19"/>
      <c r="J4" s="8"/>
      <c r="K4" s="98" t="s">
        <v>73</v>
      </c>
      <c r="L4" s="95" t="s">
        <v>74</v>
      </c>
      <c r="M4" s="95"/>
      <c r="N4" s="95"/>
      <c r="O4" s="96"/>
      <c r="P4" s="96"/>
      <c r="Q4" s="96"/>
      <c r="R4" s="96"/>
      <c r="S4" s="96"/>
      <c r="T4" s="96"/>
      <c r="U4" s="97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4" t="str">
        <f>'Final Marks'!$D$25</f>
        <v>Student Surname</v>
      </c>
      <c r="F5" s="65" t="str">
        <f>'Final Marks'!$E$25</f>
        <v>Student Name</v>
      </c>
      <c r="G5" s="65" t="str">
        <f>'Final Marks'!$F$25</f>
        <v>Student Number</v>
      </c>
      <c r="H5" s="85" t="s">
        <v>8</v>
      </c>
      <c r="I5" s="86" t="s">
        <v>0</v>
      </c>
      <c r="J5" s="87" t="s">
        <v>7</v>
      </c>
      <c r="K5" s="86" t="s">
        <v>10</v>
      </c>
      <c r="L5" s="90" t="s">
        <v>56</v>
      </c>
      <c r="M5" s="90" t="s">
        <v>57</v>
      </c>
      <c r="N5" s="90" t="s">
        <v>58</v>
      </c>
      <c r="O5" s="90" t="s">
        <v>59</v>
      </c>
      <c r="P5" s="90" t="s">
        <v>60</v>
      </c>
      <c r="Q5" s="90" t="s">
        <v>61</v>
      </c>
      <c r="R5" s="90" t="s">
        <v>62</v>
      </c>
      <c r="S5" s="90" t="s">
        <v>63</v>
      </c>
      <c r="T5" s="90" t="s">
        <v>64</v>
      </c>
      <c r="U5" s="90" t="s">
        <v>65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9" t="s">
        <v>5</v>
      </c>
      <c r="E6" s="80"/>
      <c r="F6" s="80"/>
      <c r="G6" s="80"/>
      <c r="H6" s="81">
        <v>1</v>
      </c>
      <c r="I6" s="80">
        <f>K6</f>
        <v>100</v>
      </c>
      <c r="J6" s="82"/>
      <c r="K6" s="83">
        <f t="shared" ref="K6" si="0">SUM(L6:O6)</f>
        <v>100</v>
      </c>
      <c r="L6" s="84">
        <v>100</v>
      </c>
      <c r="M6" s="84"/>
      <c r="N6" s="84"/>
      <c r="O6" s="84"/>
      <c r="P6" s="84"/>
      <c r="Q6" s="84"/>
      <c r="R6" s="84"/>
      <c r="S6" s="84"/>
      <c r="T6" s="84"/>
      <c r="U6" s="84"/>
      <c r="V6" s="35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IF(AND(H7&gt;=G$3, H7 &gt; 0), "PASS", "FAIL")</f>
        <v>FAIL</v>
      </c>
      <c r="E7" s="2" t="str">
        <f>'Final Marks'!D28</f>
        <v>A</v>
      </c>
      <c r="F7" s="2" t="str">
        <f>'Final Marks'!E28</f>
        <v>a</v>
      </c>
      <c r="G7" s="2" t="str">
        <f>'Final Marks'!F28</f>
        <v>1</v>
      </c>
      <c r="H7" s="24">
        <f>IF(ISOVERMAX(L7:U7),"INVALID MARK", IF(K7/K$6-J7&gt;=0, K7/K$6-J7, 0))</f>
        <v>0</v>
      </c>
      <c r="I7" s="20" t="str">
        <f>IF(ISOVERMAX(L7:U7),"INVALID MARK", IF(COUNT(L7:U7)=COUNT(L$6:U$6), IFERROR(H7*K$6,), IF(COUNT(L7:U7)&lt;COUNT(L$6:U$6),"MISSING MARK","INVALID ENTRY")))</f>
        <v>MISSING MARK</v>
      </c>
      <c r="J7" s="29">
        <v>0</v>
      </c>
      <c r="K7" s="25">
        <f t="shared" ref="K7" si="1">SUM(L7:O7)</f>
        <v>0</v>
      </c>
      <c r="L7" s="9"/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5" si="2">IF(AND(H8&gt;=G$3, H8 &gt; 0), "PASS", "FAIL")</f>
        <v>PASS</v>
      </c>
      <c r="E8" s="2" t="str">
        <f>'Final Marks'!D29</f>
        <v>B</v>
      </c>
      <c r="F8" s="2" t="str">
        <f>'Final Marks'!E29</f>
        <v>b</v>
      </c>
      <c r="G8" s="2" t="str">
        <f>'Final Marks'!F29</f>
        <v>2</v>
      </c>
      <c r="H8" s="24">
        <f>IF(ISOVERMAX(L8:U8),"INVALID MARK", IF(K8/K$6-J8&gt;=0, K8/K$6-J8, 0))</f>
        <v>0.56999999999999995</v>
      </c>
      <c r="I8" s="20">
        <f>IF(ISOVERMAX(L8:U8),"INVALID MARK", IF(COUNT(L8:U8)=COUNT(L$6:U$6), IFERROR(H8*K$6,), IF(COUNT(L8:U8)&lt;COUNT(L$6:U$6),"MISSING MARK","INVALID ENTRY")))</f>
        <v>56.999999999999993</v>
      </c>
      <c r="J8" s="29">
        <v>0</v>
      </c>
      <c r="K8" s="25">
        <f t="shared" ref="K8:K15" si="3">SUM(L8:O8)</f>
        <v>57</v>
      </c>
      <c r="L8" s="9">
        <v>57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PASS</v>
      </c>
      <c r="E9" s="2" t="str">
        <f>'Final Marks'!D30</f>
        <v>C</v>
      </c>
      <c r="F9" s="2" t="str">
        <f>'Final Marks'!E30</f>
        <v>c</v>
      </c>
      <c r="G9" s="2" t="str">
        <f>'Final Marks'!F30</f>
        <v>3</v>
      </c>
      <c r="H9" s="24">
        <f>IF(ISOVERMAX(L9:U9),"INVALID MARK", IF(K9/K$6-J9&gt;=0, K9/K$6-J9, 0))</f>
        <v>0.85</v>
      </c>
      <c r="I9" s="20">
        <f>IF(ISOVERMAX(L9:U9),"INVALID MARK", IF(COUNT(L9:U9)=COUNT(L$6:U$6), IFERROR(H9*K$6,), IF(COUNT(L9:U9)&lt;COUNT(L$6:U$6),"MISSING MARK","INVALID ENTRY")))</f>
        <v>85</v>
      </c>
      <c r="J9" s="29">
        <v>0</v>
      </c>
      <c r="K9" s="25">
        <f t="shared" si="3"/>
        <v>85</v>
      </c>
      <c r="L9" s="9">
        <v>85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FAIL</v>
      </c>
      <c r="E10" s="2" t="str">
        <f>'Final Marks'!D31</f>
        <v>D</v>
      </c>
      <c r="F10" s="2" t="str">
        <f>'Final Marks'!E31</f>
        <v>d</v>
      </c>
      <c r="G10" s="2" t="str">
        <f>'Final Marks'!F31</f>
        <v>4</v>
      </c>
      <c r="H10" s="24">
        <f>IF(ISOVERMAX(L10:U10),"INVALID MARK", IF(K10/K$6-J10&gt;=0, K10/K$6-J10, 0))</f>
        <v>0.45</v>
      </c>
      <c r="I10" s="20">
        <f>IF(ISOVERMAX(L10:U10),"INVALID MARK", IF(COUNT(L10:U10)=COUNT(L$6:U$6), IFERROR(H10*K$6,), IF(COUNT(L10:U10)&lt;COUNT(L$6:U$6),"MISSING MARK","INVALID ENTRY")))</f>
        <v>45</v>
      </c>
      <c r="J10" s="29">
        <v>0</v>
      </c>
      <c r="K10" s="25">
        <f t="shared" si="3"/>
        <v>45</v>
      </c>
      <c r="L10" s="9">
        <v>45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si="2"/>
        <v>PASS</v>
      </c>
      <c r="E11" s="2" t="str">
        <f>'Final Marks'!D32</f>
        <v>E</v>
      </c>
      <c r="F11" s="2" t="str">
        <f>'Final Marks'!E32</f>
        <v>e</v>
      </c>
      <c r="G11" s="2" t="str">
        <f>'Final Marks'!F32</f>
        <v>5</v>
      </c>
      <c r="H11" s="24">
        <f>IF(ISOVERMAX(L11:U11),"INVALID MARK", IF(K11/K$6-J11&gt;=0, K11/K$6-J11, 0))</f>
        <v>0.65</v>
      </c>
      <c r="I11" s="20">
        <f>IF(ISOVERMAX(L11:U11),"INVALID MARK", IF(COUNT(L11:U11)=COUNT(L$6:U$6), IFERROR(H11*K$6,), IF(COUNT(L11:U11)&lt;COUNT(L$6:U$6),"MISSING MARK","INVALID ENTRY")))</f>
        <v>65</v>
      </c>
      <c r="J11" s="29">
        <v>0</v>
      </c>
      <c r="K11" s="25">
        <f t="shared" si="3"/>
        <v>65</v>
      </c>
      <c r="L11" s="9">
        <v>65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2"/>
        <v>PASS</v>
      </c>
      <c r="E12" s="2" t="str">
        <f>'Final Marks'!D33</f>
        <v>F</v>
      </c>
      <c r="F12" s="2" t="str">
        <f>'Final Marks'!E33</f>
        <v>f</v>
      </c>
      <c r="G12" s="2" t="str">
        <f>'Final Marks'!F33</f>
        <v>6</v>
      </c>
      <c r="H12" s="24">
        <f>IF(ISOVERMAX(L12:U12),"INVALID MARK", IF(K12/K$6-J12&gt;=0, K12/K$6-J12, 0))</f>
        <v>0.85</v>
      </c>
      <c r="I12" s="20">
        <f>IF(ISOVERMAX(L12:U12),"INVALID MARK", IF(COUNT(L12:U12)=COUNT(L$6:U$6), IFERROR(H12*K$6,), IF(COUNT(L12:U12)&lt;COUNT(L$6:U$6),"MISSING MARK","INVALID ENTRY")))</f>
        <v>85</v>
      </c>
      <c r="J12" s="29">
        <v>0</v>
      </c>
      <c r="K12" s="25">
        <f t="shared" si="3"/>
        <v>85</v>
      </c>
      <c r="L12" s="9">
        <v>85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2"/>
        <v>PASS</v>
      </c>
      <c r="E13" s="2" t="str">
        <f>'Final Marks'!D34</f>
        <v>G</v>
      </c>
      <c r="F13" s="2" t="str">
        <f>'Final Marks'!E34</f>
        <v>g</v>
      </c>
      <c r="G13" s="2" t="str">
        <f>'Final Marks'!F34</f>
        <v>7</v>
      </c>
      <c r="H13" s="24">
        <f>IF(ISOVERMAX(L13:U13),"INVALID MARK", IF(K13/K$6-J13&gt;=0, K13/K$6-J13, 0))</f>
        <v>0.75</v>
      </c>
      <c r="I13" s="20">
        <f>IF(ISOVERMAX(L13:U13),"INVALID MARK", IF(COUNT(L13:U13)=COUNT(L$6:U$6), IFERROR(H13*K$6,), IF(COUNT(L13:U13)&lt;COUNT(L$6:U$6),"MISSING MARK","INVALID ENTRY")))</f>
        <v>75</v>
      </c>
      <c r="J13" s="29">
        <v>0</v>
      </c>
      <c r="K13" s="25">
        <f t="shared" si="3"/>
        <v>75</v>
      </c>
      <c r="L13" s="9">
        <v>75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2"/>
        <v>PASS</v>
      </c>
      <c r="E14" s="2" t="str">
        <f>'Final Marks'!D35</f>
        <v>H</v>
      </c>
      <c r="F14" s="2" t="str">
        <f>'Final Marks'!E35</f>
        <v>h</v>
      </c>
      <c r="G14" s="2" t="str">
        <f>'Final Marks'!F35</f>
        <v>8</v>
      </c>
      <c r="H14" s="24">
        <f>IF(ISOVERMAX(L14:U14),"INVALID MARK", IF(K14/K$6-J14&gt;=0, K14/K$6-J14, 0))</f>
        <v>0.65</v>
      </c>
      <c r="I14" s="20">
        <f>IF(ISOVERMAX(L14:U14),"INVALID MARK", IF(COUNT(L14:U14)=COUNT(L$6:U$6), IFERROR(H14*K$6,), IF(COUNT(L14:U14)&lt;COUNT(L$6:U$6),"MISSING MARK","INVALID ENTRY")))</f>
        <v>65</v>
      </c>
      <c r="J14" s="29">
        <v>0</v>
      </c>
      <c r="K14" s="25">
        <f t="shared" si="3"/>
        <v>65</v>
      </c>
      <c r="L14" s="9">
        <v>65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2"/>
        <v>PASS</v>
      </c>
      <c r="E15" s="2" t="str">
        <f>'Final Marks'!D36</f>
        <v>I</v>
      </c>
      <c r="F15" s="2" t="str">
        <f>'Final Marks'!E36</f>
        <v>i</v>
      </c>
      <c r="G15" s="2" t="str">
        <f>'Final Marks'!F36</f>
        <v>9</v>
      </c>
      <c r="H15" s="24">
        <f>IF(ISOVERMAX(L15:U15),"INVALID MARK", IF(K15/K$6-J15&gt;=0, K15/K$6-J15, 0))</f>
        <v>0.63</v>
      </c>
      <c r="I15" s="20">
        <f>IF(ISOVERMAX(L15:U15),"INVALID MARK", IF(COUNT(L15:U15)=COUNT(L$6:U$6), IFERROR(H15*K$6,), IF(COUNT(L15:U15)&lt;COUNT(L$6:U$6),"MISSING MARK","INVALID ENTRY")))</f>
        <v>63</v>
      </c>
      <c r="J15" s="29">
        <v>0</v>
      </c>
      <c r="K15" s="25">
        <f t="shared" si="3"/>
        <v>63</v>
      </c>
      <c r="L15" s="9">
        <v>63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</sheetData>
  <mergeCells count="1">
    <mergeCell ref="F4:G4"/>
  </mergeCells>
  <conditionalFormatting sqref="I7">
    <cfRule type="containsText" dxfId="20" priority="246" operator="containsText" text="INVALID MARK">
      <formula>NOT(ISERROR(SEARCH("INVALID MARK",I7)))</formula>
    </cfRule>
    <cfRule type="containsText" dxfId="19" priority="247" operator="containsText" text="INVALID ENTRY">
      <formula>NOT(ISERROR(SEARCH("INVALID ENTRY",I7)))</formula>
    </cfRule>
    <cfRule type="containsText" dxfId="18" priority="248" operator="containsText" text="MISSING MARK">
      <formula>NOT(ISERROR(SEARCH("MISSING MARK",I7)))</formula>
    </cfRule>
  </conditionalFormatting>
  <conditionalFormatting sqref="H7">
    <cfRule type="containsText" dxfId="17" priority="245" operator="containsText" text="INVALID MARK">
      <formula>NOT(ISERROR(SEARCH("INVALID MARK",H7)))</formula>
    </cfRule>
  </conditionalFormatting>
  <conditionalFormatting sqref="D7:D15">
    <cfRule type="containsText" dxfId="16" priority="19" operator="containsText" text="FAIL">
      <formula>NOT(ISERROR(SEARCH("FAIL",D7)))</formula>
    </cfRule>
    <cfRule type="containsText" dxfId="15" priority="20" operator="containsText" text="PASS">
      <formula>NOT(ISERROR(SEARCH("PASS",D7)))</formula>
    </cfRule>
  </conditionalFormatting>
  <conditionalFormatting sqref="I8:I15">
    <cfRule type="containsText" dxfId="14" priority="4" operator="containsText" text="INVALID MARK">
      <formula>NOT(ISERROR(SEARCH("INVALID MARK",I8)))</formula>
    </cfRule>
    <cfRule type="containsText" dxfId="13" priority="5" operator="containsText" text="INVALID ENTRY">
      <formula>NOT(ISERROR(SEARCH("INVALID ENTRY",I8)))</formula>
    </cfRule>
    <cfRule type="containsText" dxfId="12" priority="6" operator="containsText" text="MISSING MARK">
      <formula>NOT(ISERROR(SEARCH("MISSING MARK",I8)))</formula>
    </cfRule>
  </conditionalFormatting>
  <conditionalFormatting sqref="H8:H15">
    <cfRule type="containsText" dxfId="11" priority="3" operator="containsText" text="INVALID MARK">
      <formula>NOT(ISERROR(SEARCH("INVALID MARK",H8)))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Final Marks</vt:lpstr>
      <vt:lpstr>Test 1</vt:lpstr>
      <vt:lpstr>Test 2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2020-09-04T09:04:58Z</dcterms:modified>
</cp:coreProperties>
</file>